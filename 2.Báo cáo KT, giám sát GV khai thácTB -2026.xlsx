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Ke hoach khai thac TB\"/>
    </mc:Choice>
  </mc:AlternateContent>
  <xr:revisionPtr revIDLastSave="0" documentId="13_ncr:1_{3DEA102A-8A4B-4A01-A154-F8C3C9AC53ED}" xr6:coauthVersionLast="36" xr6:coauthVersionMax="36" xr10:uidLastSave="{00000000-0000-0000-0000-000000000000}"/>
  <bookViews>
    <workbookView xWindow="-120" yWindow="-120" windowWidth="24240" windowHeight="13140" firstSheet="1" activeTab="3" xr2:uid="{00000000-000D-0000-FFFF-FFFF00000000}"/>
  </bookViews>
  <sheets>
    <sheet name="foxz" sheetId="6" state="veryHidden" r:id="rId1"/>
    <sheet name="Tháng 01" sheetId="18" r:id="rId2"/>
    <sheet name="Tháng 2,3" sheetId="19" r:id="rId3"/>
    <sheet name="Tháng 4" sheetId="20" r:id="rId4"/>
  </sheets>
  <definedNames>
    <definedName name="_xlnm.Print_Titles" localSheetId="1">'Tháng 01'!$4:$4</definedName>
    <definedName name="_xlnm.Print_Titles" localSheetId="2">'Tháng 2,3'!$4:$4</definedName>
    <definedName name="_xlnm.Print_Titles" localSheetId="3">'Tháng 4'!$4:$4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2" i="20" l="1"/>
  <c r="Q62" i="20"/>
  <c r="P62" i="20"/>
  <c r="O62" i="20"/>
  <c r="S61" i="20"/>
  <c r="S60" i="20"/>
  <c r="E60" i="20"/>
  <c r="S59" i="20"/>
  <c r="T61" i="20" s="1"/>
  <c r="E57" i="20"/>
  <c r="E54" i="20"/>
  <c r="E51" i="20"/>
  <c r="E48" i="20"/>
  <c r="H44" i="20"/>
  <c r="G44" i="20"/>
  <c r="F44" i="20"/>
  <c r="E44" i="20"/>
  <c r="D44" i="20"/>
  <c r="C44" i="20"/>
  <c r="I43" i="20"/>
  <c r="R42" i="20"/>
  <c r="R57" i="20" s="1"/>
  <c r="Q42" i="20"/>
  <c r="Q57" i="20" s="1"/>
  <c r="P42" i="20"/>
  <c r="P57" i="20" s="1"/>
  <c r="O42" i="20"/>
  <c r="O57" i="20" s="1"/>
  <c r="N42" i="20"/>
  <c r="N57" i="20" s="1"/>
  <c r="I42" i="20"/>
  <c r="I41" i="20"/>
  <c r="I40" i="20"/>
  <c r="G36" i="20"/>
  <c r="F36" i="20"/>
  <c r="E36" i="20"/>
  <c r="D36" i="20"/>
  <c r="C36" i="20"/>
  <c r="I35" i="20"/>
  <c r="I34" i="20"/>
  <c r="I33" i="20"/>
  <c r="I32" i="20"/>
  <c r="I31" i="20"/>
  <c r="I30" i="20"/>
  <c r="I29" i="20"/>
  <c r="I28" i="20"/>
  <c r="G24" i="20"/>
  <c r="F24" i="20"/>
  <c r="E24" i="20"/>
  <c r="D24" i="20"/>
  <c r="C24" i="20"/>
  <c r="I23" i="20"/>
  <c r="I22" i="20"/>
  <c r="I21" i="20"/>
  <c r="I20" i="20"/>
  <c r="I19" i="20"/>
  <c r="I18" i="20"/>
  <c r="I17" i="20"/>
  <c r="G13" i="20"/>
  <c r="F13" i="20"/>
  <c r="E13" i="20"/>
  <c r="D13" i="20"/>
  <c r="C13" i="20"/>
  <c r="I12" i="20"/>
  <c r="I13" i="20" s="1"/>
  <c r="E52" i="20" s="1"/>
  <c r="G8" i="20"/>
  <c r="F8" i="20"/>
  <c r="E8" i="20"/>
  <c r="D8" i="20"/>
  <c r="C8" i="20"/>
  <c r="I7" i="20"/>
  <c r="A7" i="20"/>
  <c r="I6" i="20"/>
  <c r="A6" i="20"/>
  <c r="I8" i="20" l="1"/>
  <c r="E49" i="20" s="1"/>
  <c r="I36" i="20"/>
  <c r="E58" i="20" s="1"/>
  <c r="H24" i="20"/>
  <c r="H8" i="20"/>
  <c r="H13" i="20"/>
  <c r="I24" i="20"/>
  <c r="E55" i="20" s="1"/>
  <c r="S62" i="20"/>
  <c r="H36" i="20"/>
  <c r="I44" i="20"/>
  <c r="E61" i="20" s="1"/>
  <c r="S57" i="20"/>
  <c r="S42" i="20"/>
  <c r="T57" i="20" s="1"/>
  <c r="N44" i="19"/>
  <c r="S44" i="19" s="1"/>
  <c r="O44" i="19"/>
  <c r="R44" i="19"/>
  <c r="P44" i="19"/>
  <c r="Q44" i="19"/>
  <c r="R64" i="19" l="1"/>
  <c r="Q64" i="19"/>
  <c r="P64" i="19"/>
  <c r="O64" i="19"/>
  <c r="S63" i="19"/>
  <c r="S62" i="19"/>
  <c r="E62" i="19"/>
  <c r="S61" i="19"/>
  <c r="T63" i="19" s="1"/>
  <c r="T59" i="19"/>
  <c r="R59" i="19"/>
  <c r="Q59" i="19"/>
  <c r="P59" i="19"/>
  <c r="O59" i="19"/>
  <c r="N59" i="19"/>
  <c r="E59" i="19"/>
  <c r="E56" i="19"/>
  <c r="E53" i="19"/>
  <c r="E50" i="19"/>
  <c r="H46" i="19"/>
  <c r="G46" i="19"/>
  <c r="F46" i="19"/>
  <c r="E46" i="19"/>
  <c r="D46" i="19"/>
  <c r="C46" i="19"/>
  <c r="I45" i="19"/>
  <c r="I44" i="19"/>
  <c r="I43" i="19"/>
  <c r="I42" i="19"/>
  <c r="G38" i="19"/>
  <c r="F38" i="19"/>
  <c r="E38" i="19"/>
  <c r="D38" i="19"/>
  <c r="C38" i="19"/>
  <c r="I37" i="19"/>
  <c r="I36" i="19"/>
  <c r="I35" i="19"/>
  <c r="I34" i="19"/>
  <c r="I33" i="19"/>
  <c r="I32" i="19"/>
  <c r="I31" i="19"/>
  <c r="I30" i="19"/>
  <c r="G26" i="19"/>
  <c r="F26" i="19"/>
  <c r="E26" i="19"/>
  <c r="D26" i="19"/>
  <c r="C26" i="19"/>
  <c r="I25" i="19"/>
  <c r="I24" i="19"/>
  <c r="I23" i="19"/>
  <c r="I22" i="19"/>
  <c r="I21" i="19"/>
  <c r="I20" i="19"/>
  <c r="I19" i="19"/>
  <c r="G15" i="19"/>
  <c r="F15" i="19"/>
  <c r="E15" i="19"/>
  <c r="D15" i="19"/>
  <c r="C15" i="19"/>
  <c r="I14" i="19"/>
  <c r="I15" i="19" s="1"/>
  <c r="E54" i="19" s="1"/>
  <c r="G10" i="19"/>
  <c r="F10" i="19"/>
  <c r="E10" i="19"/>
  <c r="D10" i="19"/>
  <c r="C10" i="19"/>
  <c r="I9" i="19"/>
  <c r="A9" i="19"/>
  <c r="I8" i="19"/>
  <c r="A8" i="19"/>
  <c r="I7" i="19"/>
  <c r="A7" i="19"/>
  <c r="I6" i="19"/>
  <c r="A6" i="19"/>
  <c r="I46" i="19" l="1"/>
  <c r="E63" i="19" s="1"/>
  <c r="S64" i="19"/>
  <c r="H15" i="19"/>
  <c r="I26" i="19"/>
  <c r="E57" i="19" s="1"/>
  <c r="H26" i="19"/>
  <c r="I38" i="19"/>
  <c r="E60" i="19" s="1"/>
  <c r="H38" i="19"/>
  <c r="S59" i="19"/>
  <c r="I10" i="19"/>
  <c r="E51" i="19" s="1"/>
  <c r="H10" i="19"/>
  <c r="S65" i="18"/>
  <c r="S66" i="18"/>
  <c r="S64" i="18" l="1"/>
  <c r="T66" i="18" s="1"/>
  <c r="P67" i="18"/>
  <c r="Q67" i="18"/>
  <c r="R67" i="18"/>
  <c r="O67" i="18"/>
  <c r="I39" i="18"/>
  <c r="C18" i="18"/>
  <c r="I17" i="18"/>
  <c r="A7" i="18"/>
  <c r="A8" i="18"/>
  <c r="A9" i="18"/>
  <c r="I9" i="18"/>
  <c r="I8" i="18"/>
  <c r="E65" i="18"/>
  <c r="T62" i="18"/>
  <c r="R62" i="18"/>
  <c r="Q62" i="18"/>
  <c r="P62" i="18"/>
  <c r="O62" i="18"/>
  <c r="N62" i="18"/>
  <c r="E62" i="18"/>
  <c r="E59" i="18"/>
  <c r="E56" i="18"/>
  <c r="E53" i="18"/>
  <c r="H49" i="18"/>
  <c r="G49" i="18"/>
  <c r="F49" i="18"/>
  <c r="E49" i="18"/>
  <c r="D49" i="18"/>
  <c r="C49" i="18"/>
  <c r="I48" i="18"/>
  <c r="I47" i="18"/>
  <c r="I46" i="18"/>
  <c r="I45" i="18"/>
  <c r="G41" i="18"/>
  <c r="F41" i="18"/>
  <c r="E41" i="18"/>
  <c r="D41" i="18"/>
  <c r="C41" i="18"/>
  <c r="I40" i="18"/>
  <c r="I38" i="18"/>
  <c r="I37" i="18"/>
  <c r="I36" i="18"/>
  <c r="I35" i="18"/>
  <c r="I34" i="18"/>
  <c r="I33" i="18"/>
  <c r="G29" i="18"/>
  <c r="F29" i="18"/>
  <c r="E29" i="18"/>
  <c r="D29" i="18"/>
  <c r="C29" i="18"/>
  <c r="I28" i="18"/>
  <c r="I27" i="18"/>
  <c r="I26" i="18"/>
  <c r="I25" i="18"/>
  <c r="I24" i="18"/>
  <c r="I23" i="18"/>
  <c r="I22" i="18"/>
  <c r="G18" i="18"/>
  <c r="F18" i="18"/>
  <c r="E18" i="18"/>
  <c r="D18" i="18"/>
  <c r="I16" i="18"/>
  <c r="Q15" i="18"/>
  <c r="P15" i="18"/>
  <c r="O15" i="18"/>
  <c r="N15" i="18"/>
  <c r="M15" i="18"/>
  <c r="I15" i="18"/>
  <c r="I14" i="18"/>
  <c r="G10" i="18"/>
  <c r="F10" i="18"/>
  <c r="E10" i="18"/>
  <c r="D10" i="18"/>
  <c r="C10" i="18"/>
  <c r="I7" i="18"/>
  <c r="I6" i="18"/>
  <c r="A6" i="18"/>
  <c r="I49" i="18" l="1"/>
  <c r="E66" i="18" s="1"/>
  <c r="S67" i="18"/>
  <c r="I41" i="18"/>
  <c r="E63" i="18" s="1"/>
  <c r="H41" i="18"/>
  <c r="H29" i="18"/>
  <c r="I29" i="18"/>
  <c r="E60" i="18" s="1"/>
  <c r="H18" i="18"/>
  <c r="R15" i="18"/>
  <c r="I18" i="18"/>
  <c r="E57" i="18" s="1"/>
  <c r="S62" i="18"/>
  <c r="I10" i="18"/>
  <c r="E54" i="18" s="1"/>
  <c r="H10" i="18"/>
</calcChain>
</file>

<file path=xl/sharedStrings.xml><?xml version="1.0" encoding="utf-8"?>
<sst xmlns="http://schemas.openxmlformats.org/spreadsheetml/2006/main" count="599" uniqueCount="133">
  <si>
    <t>I</t>
  </si>
  <si>
    <t>Khoa Điện</t>
  </si>
  <si>
    <t>Ghi chú</t>
  </si>
  <si>
    <t>Tuần từ:</t>
  </si>
  <si>
    <t>II</t>
  </si>
  <si>
    <t>Khoa Cơ khí</t>
  </si>
  <si>
    <t>Đào Văn Kiên</t>
  </si>
  <si>
    <t>Mạc Văn Giang</t>
  </si>
  <si>
    <t>III</t>
  </si>
  <si>
    <t>Nguyễn Thị Hiền</t>
  </si>
  <si>
    <t>Đỗ Thị Làn</t>
  </si>
  <si>
    <t>Phạm Thị Kim Phúc</t>
  </si>
  <si>
    <t>Nguyễn Thị Hằng</t>
  </si>
  <si>
    <t>Bùi Thị Loan</t>
  </si>
  <si>
    <t>Nguyễn Quang Thoại</t>
  </si>
  <si>
    <t>Tổng</t>
  </si>
  <si>
    <r>
      <rPr>
        <sz val="12"/>
        <color theme="1"/>
        <rFont val="Times New Roman"/>
        <family val="1"/>
      </rPr>
      <t xml:space="preserve">       TRƯỜNG ĐẠI HỌC SAO ĐỎ
</t>
    </r>
    <r>
      <rPr>
        <b/>
        <sz val="12"/>
        <color theme="1"/>
        <rFont val="Times New Roman"/>
        <family val="1"/>
      </rPr>
      <t>PHÒNG QUẢN LÝ CHẤT LƯỢNG</t>
    </r>
  </si>
  <si>
    <t>B. Tổng hợp kết quả kiểm tra, giám sát</t>
  </si>
  <si>
    <t>giờ</t>
  </si>
  <si>
    <t>Tổng số giờ khai thác:</t>
  </si>
  <si>
    <t>C. Nhận xét, góp ý (nếu có)</t>
  </si>
  <si>
    <t>TRƯỞNG PHÒNG</t>
  </si>
  <si>
    <t>Xác nhận của Trưởng đơn vị:</t>
  </si>
  <si>
    <t>BAN GIÁM HIỆU</t>
  </si>
  <si>
    <t>Khoa Công nghệ thông tin</t>
  </si>
  <si>
    <t>IV</t>
  </si>
  <si>
    <t>Hoàng Thị Ngát</t>
  </si>
  <si>
    <t>Nguyễn Thị Bích Ngọc</t>
  </si>
  <si>
    <t>Phạm Thị Hường</t>
  </si>
  <si>
    <t>Nguyễn Thị Thu</t>
  </si>
  <si>
    <t>Nguyễn Thị Ánh Tuyết</t>
  </si>
  <si>
    <t>Vũ Bảo Tạo</t>
  </si>
  <si>
    <t>Số giảng viên khai thác:</t>
  </si>
  <si>
    <t>giảng viên</t>
  </si>
  <si>
    <t>Khoa Ô tô</t>
  </si>
  <si>
    <t>Nguyễn Ngọc Đàm</t>
  </si>
  <si>
    <t>Phạm Văn Trọng</t>
  </si>
  <si>
    <t>Cao Huy Giáp</t>
  </si>
  <si>
    <t>Phùng Đức Hải Anh</t>
  </si>
  <si>
    <t>Dương Thị Hoa</t>
  </si>
  <si>
    <t>STT</t>
  </si>
  <si>
    <t>I.</t>
  </si>
  <si>
    <t>II.</t>
  </si>
  <si>
    <t>III.</t>
  </si>
  <si>
    <t>IV.</t>
  </si>
  <si>
    <t>V.</t>
  </si>
  <si>
    <t>PHÓ HIỆU TRƯỞNG</t>
  </si>
  <si>
    <t>TS. Đỗ Văn Đỉnh</t>
  </si>
  <si>
    <t>………………………...…........................................................................................................................................................</t>
  </si>
  <si>
    <t>Số giờ
 KH</t>
  </si>
  <si>
    <t>Số giờ
TH</t>
  </si>
  <si>
    <t>Kết hợp HD sinh viên</t>
  </si>
  <si>
    <t>1.1</t>
  </si>
  <si>
    <t>1.2</t>
  </si>
  <si>
    <t>2.1</t>
  </si>
  <si>
    <t>2.2</t>
  </si>
  <si>
    <t>3.1</t>
  </si>
  <si>
    <t>3.2</t>
  </si>
  <si>
    <t>4.1</t>
  </si>
  <si>
    <t>4.2</t>
  </si>
  <si>
    <t>5.1</t>
  </si>
  <si>
    <t>5.2</t>
  </si>
  <si>
    <t>A. Kiểm tra, giám sát các đơn vị thực hiện theo kế hoạch</t>
  </si>
  <si>
    <t xml:space="preserve">    Tạ Hồng Phong</t>
  </si>
  <si>
    <t>101-X3</t>
  </si>
  <si>
    <t>Phạm Thị Tâm</t>
  </si>
  <si>
    <t>203-X4</t>
  </si>
  <si>
    <t>Khoa May và Thời trang</t>
  </si>
  <si>
    <t xml:space="preserve"> </t>
  </si>
  <si>
    <t>Phạm Văn Tài</t>
  </si>
  <si>
    <t>Mạc Thị Nguyên</t>
  </si>
  <si>
    <t>202-X4</t>
  </si>
  <si>
    <t>01-04</t>
  </si>
  <si>
    <t>05-11</t>
  </si>
  <si>
    <t>12-18</t>
  </si>
  <si>
    <t>19-25</t>
  </si>
  <si>
    <t>26-31</t>
  </si>
  <si>
    <t>Nguyễn Thị Phương</t>
  </si>
  <si>
    <t>Nguyễn Trương Huy</t>
  </si>
  <si>
    <t>NguyễnThị Hồi</t>
  </si>
  <si>
    <t>Hoàng Thị An</t>
  </si>
  <si>
    <t>May</t>
  </si>
  <si>
    <t>CNTT</t>
  </si>
  <si>
    <t>201-X4</t>
  </si>
  <si>
    <t>Vũ Hoa Kỳ</t>
  </si>
  <si>
    <t>Đơn vị</t>
  </si>
  <si>
    <t>Ô tô</t>
  </si>
  <si>
    <t>CK</t>
  </si>
  <si>
    <t>Điện</t>
  </si>
  <si>
    <t>Tháng 01</t>
  </si>
  <si>
    <t>Tháng 02</t>
  </si>
  <si>
    <t>Tháng 03</t>
  </si>
  <si>
    <t>Cộng</t>
  </si>
  <si>
    <t>Tháng 4</t>
  </si>
  <si>
    <t>Tháng 5</t>
  </si>
  <si>
    <t>Tháng 6</t>
  </si>
  <si>
    <t>Tổng (giờ)</t>
  </si>
  <si>
    <t>Tháng 7</t>
  </si>
  <si>
    <t>Tháng 8</t>
  </si>
  <si>
    <t>Tháng 9</t>
  </si>
  <si>
    <t>P.TH CNC-X4</t>
  </si>
  <si>
    <t>104-X1</t>
  </si>
  <si>
    <t>305B</t>
  </si>
  <si>
    <t>Tháng 10</t>
  </si>
  <si>
    <t>Tháng 11</t>
  </si>
  <si>
    <t>Tháng 12</t>
  </si>
  <si>
    <t>V</t>
  </si>
  <si>
    <r>
      <t xml:space="preserve">BÁO CÁO 
KẾT QUẢ KIỂM TRA, GIÁM SÁT GIẢNG VIÊN KHAI THÁC TRANG THIẾT BỊ 
</t>
    </r>
    <r>
      <rPr>
        <b/>
        <i/>
        <sz val="12"/>
        <color rgb="FF002060"/>
        <rFont val="Times New Roman"/>
        <family val="1"/>
      </rPr>
      <t>Tháng 01 năm 2026</t>
    </r>
  </si>
  <si>
    <t>104-X1; 201-X1</t>
  </si>
  <si>
    <t>Hải Phòng, ngày 30 tháng 01 năm 2026</t>
  </si>
  <si>
    <r>
      <t xml:space="preserve">BÁO CÁO 
KẾT QUẢ KIỂM TRA, GIÁM SÁT GIẢNG VIÊN KHAI THÁC TRANG THIẾT BỊ 
</t>
    </r>
    <r>
      <rPr>
        <b/>
        <i/>
        <sz val="12"/>
        <color rgb="FF002060"/>
        <rFont val="Times New Roman"/>
        <family val="1"/>
      </rPr>
      <t>Tháng 02+3 năm 2026</t>
    </r>
  </si>
  <si>
    <t>Vũ Hồng Phong</t>
  </si>
  <si>
    <t>Vũ Quang Ngọc</t>
  </si>
  <si>
    <t>09-15</t>
  </si>
  <si>
    <t>16-22</t>
  </si>
  <si>
    <t>23-29</t>
  </si>
  <si>
    <t>30-31</t>
  </si>
  <si>
    <t>02-08</t>
  </si>
  <si>
    <t>102-X1</t>
  </si>
  <si>
    <t>108-X1</t>
  </si>
  <si>
    <t>201-X1</t>
  </si>
  <si>
    <t>Nguyễn Hữu Chấn</t>
  </si>
  <si>
    <t>X2</t>
  </si>
  <si>
    <t>Tháng 02,3</t>
  </si>
  <si>
    <t>01-05</t>
  </si>
  <si>
    <t>06-12</t>
  </si>
  <si>
    <t>13-19</t>
  </si>
  <si>
    <t>20-26</t>
  </si>
  <si>
    <t>27-30</t>
  </si>
  <si>
    <t>205-X4</t>
  </si>
  <si>
    <t>Hải Phòng, ngày 28 tháng 4 năm 2026</t>
  </si>
  <si>
    <t>Hải Phòng, ngày 31 tháng 3 năm 2026</t>
  </si>
  <si>
    <r>
      <t xml:space="preserve">BÁO CÁO 
KẾT QUẢ KIỂM TRA, GIÁM SÁT GIẢNG VIÊN KHAI THÁC TRANG THIẾT BỊ 
</t>
    </r>
    <r>
      <rPr>
        <b/>
        <i/>
        <sz val="12"/>
        <color rgb="FF002060"/>
        <rFont val="Times New Roman"/>
        <family val="1"/>
      </rPr>
      <t>Tháng 4 năm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</si>
</sst>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2"/>
      <color rgb="FF002060"/>
      <name val="Times New Roman"/>
      <family val="1"/>
    </font>
    <font>
      <sz val="11"/>
      <color rgb="FFFF0000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2" fillId="0" borderId="0" xfId="0" applyFont="1" applyBorder="1"/>
    <xf numFmtId="0" fontId="8" fillId="0" borderId="1" xfId="0" applyFont="1" applyBorder="1"/>
    <xf numFmtId="0" fontId="0" fillId="3" borderId="0" xfId="0" applyFill="1"/>
    <xf numFmtId="0" fontId="3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3" borderId="0" xfId="0" applyFont="1" applyFill="1"/>
    <xf numFmtId="0" fontId="4" fillId="0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6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E59EA9E-8082-481E-A30B-ADF0735D9ADC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16449EA-726D-446D-8C0B-4929AB4DA8DE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43289E0-07D0-4316-B088-5706C89DC762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3DADBA-EE19-41EF-98D7-6D62D30BE595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8E761B9-1E83-484D-9C7C-DEFBACAAF19C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258831</xdr:colOff>
      <xdr:row>0</xdr:row>
      <xdr:rowOff>443120</xdr:rowOff>
    </xdr:from>
    <xdr:to>
      <xdr:col>1</xdr:col>
      <xdr:colOff>1354206</xdr:colOff>
      <xdr:row>0</xdr:row>
      <xdr:rowOff>443120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786CF61-AD63-4D5B-BE3A-EE3CBE7AF93C}"/>
            </a:ext>
          </a:extLst>
        </xdr:cNvPr>
        <xdr:cNvCxnSpPr/>
      </xdr:nvCxnSpPr>
      <xdr:spPr>
        <a:xfrm>
          <a:off x="573156" y="443120"/>
          <a:ext cx="10953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03CA8-1FD2-4783-8CB1-DBB97B353077}">
  <sheetPr codeName="Sheet2"/>
  <dimension ref="A1:T75"/>
  <sheetViews>
    <sheetView topLeftCell="A34" zoomScale="115" zoomScaleNormal="115" workbookViewId="0">
      <selection activeCell="L43" sqref="L43"/>
    </sheetView>
  </sheetViews>
  <sheetFormatPr defaultRowHeight="15" x14ac:dyDescent="0.25"/>
  <cols>
    <col min="1" max="1" width="4.7109375" customWidth="1"/>
    <col min="2" max="2" width="23.5703125" customWidth="1"/>
    <col min="3" max="3" width="6.85546875" customWidth="1"/>
    <col min="4" max="4" width="6.7109375" customWidth="1"/>
    <col min="5" max="5" width="6.28515625" customWidth="1"/>
    <col min="6" max="6" width="5.85546875" customWidth="1"/>
    <col min="7" max="7" width="6.42578125" customWidth="1"/>
    <col min="8" max="9" width="6.5703125" customWidth="1"/>
    <col min="10" max="10" width="17.7109375" customWidth="1"/>
    <col min="12" max="12" width="7.5703125" customWidth="1"/>
    <col min="13" max="13" width="13.42578125" customWidth="1"/>
    <col min="19" max="19" width="12.85546875" customWidth="1"/>
    <col min="20" max="20" width="11" customWidth="1"/>
  </cols>
  <sheetData>
    <row r="1" spans="1:18" ht="37.5" customHeight="1" x14ac:dyDescent="0.25">
      <c r="A1" s="56" t="s">
        <v>16</v>
      </c>
      <c r="B1" s="57"/>
      <c r="C1" s="57"/>
      <c r="D1" s="57"/>
      <c r="E1" s="57"/>
      <c r="F1" s="57"/>
      <c r="G1" s="57"/>
      <c r="H1" s="57"/>
      <c r="I1" s="57"/>
      <c r="J1" s="57"/>
    </row>
    <row r="2" spans="1:18" ht="46.5" customHeight="1" x14ac:dyDescent="0.25">
      <c r="A2" s="58" t="s">
        <v>107</v>
      </c>
      <c r="B2" s="58"/>
      <c r="C2" s="58"/>
      <c r="D2" s="58"/>
      <c r="E2" s="58"/>
      <c r="F2" s="58"/>
      <c r="G2" s="58"/>
      <c r="H2" s="58"/>
      <c r="I2" s="58"/>
      <c r="J2" s="58"/>
    </row>
    <row r="3" spans="1:18" ht="18" customHeight="1" x14ac:dyDescent="0.25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</row>
    <row r="4" spans="1:18" ht="29.25" customHeight="1" x14ac:dyDescent="0.25">
      <c r="A4" s="14" t="s">
        <v>40</v>
      </c>
      <c r="B4" s="14" t="s">
        <v>3</v>
      </c>
      <c r="C4" s="33" t="s">
        <v>72</v>
      </c>
      <c r="D4" s="33" t="s">
        <v>73</v>
      </c>
      <c r="E4" s="33" t="s">
        <v>74</v>
      </c>
      <c r="F4" s="34" t="s">
        <v>75</v>
      </c>
      <c r="G4" s="34" t="s">
        <v>76</v>
      </c>
      <c r="H4" s="25" t="s">
        <v>49</v>
      </c>
      <c r="I4" s="26" t="s">
        <v>50</v>
      </c>
      <c r="J4" s="16" t="s">
        <v>2</v>
      </c>
    </row>
    <row r="5" spans="1:18" ht="18" customHeight="1" x14ac:dyDescent="0.25">
      <c r="A5" s="6" t="s">
        <v>0</v>
      </c>
      <c r="B5" s="60" t="s">
        <v>1</v>
      </c>
      <c r="C5" s="61"/>
      <c r="D5" s="61"/>
      <c r="E5" s="61"/>
      <c r="F5" s="61"/>
      <c r="G5" s="61"/>
      <c r="H5" s="61"/>
      <c r="I5" s="61"/>
      <c r="J5" s="62"/>
    </row>
    <row r="6" spans="1:18" s="27" customFormat="1" ht="18" customHeight="1" x14ac:dyDescent="0.25">
      <c r="A6" s="36">
        <f>SUBTOTAL(3,$B$6:B6)</f>
        <v>1</v>
      </c>
      <c r="B6" s="13" t="s">
        <v>77</v>
      </c>
      <c r="C6" s="21">
        <v>0</v>
      </c>
      <c r="D6" s="21">
        <v>4</v>
      </c>
      <c r="E6" s="21">
        <v>0</v>
      </c>
      <c r="F6" s="21">
        <v>0</v>
      </c>
      <c r="G6" s="21">
        <v>0</v>
      </c>
      <c r="H6" s="21">
        <v>4</v>
      </c>
      <c r="I6" s="21">
        <f t="shared" ref="I6:I9" si="0">C6+D6+E6+F6+G6</f>
        <v>4</v>
      </c>
      <c r="J6" s="36" t="s">
        <v>101</v>
      </c>
    </row>
    <row r="7" spans="1:18" s="27" customFormat="1" ht="18" customHeight="1" x14ac:dyDescent="0.25">
      <c r="A7" s="36">
        <f>SUBTOTAL(3,$B$6:B7)</f>
        <v>2</v>
      </c>
      <c r="B7" s="13" t="s">
        <v>78</v>
      </c>
      <c r="C7" s="21">
        <v>0</v>
      </c>
      <c r="D7" s="21">
        <v>6</v>
      </c>
      <c r="E7" s="21">
        <v>6</v>
      </c>
      <c r="F7" s="21">
        <v>3</v>
      </c>
      <c r="G7" s="21">
        <v>3</v>
      </c>
      <c r="H7" s="21">
        <v>18</v>
      </c>
      <c r="I7" s="21">
        <f t="shared" si="0"/>
        <v>18</v>
      </c>
      <c r="J7" s="36" t="s">
        <v>108</v>
      </c>
    </row>
    <row r="8" spans="1:18" s="27" customFormat="1" ht="18" customHeight="1" x14ac:dyDescent="0.25">
      <c r="A8" s="36">
        <f>SUBTOTAL(3,$B$6:B8)</f>
        <v>3</v>
      </c>
      <c r="B8" s="13" t="s">
        <v>69</v>
      </c>
      <c r="C8" s="21">
        <v>0</v>
      </c>
      <c r="D8" s="21">
        <v>4</v>
      </c>
      <c r="E8" s="21">
        <v>8</v>
      </c>
      <c r="F8" s="21">
        <v>4</v>
      </c>
      <c r="G8" s="21">
        <v>4</v>
      </c>
      <c r="H8" s="21">
        <v>20</v>
      </c>
      <c r="I8" s="21">
        <f t="shared" si="0"/>
        <v>20</v>
      </c>
      <c r="J8" s="36" t="s">
        <v>108</v>
      </c>
    </row>
    <row r="9" spans="1:18" s="27" customFormat="1" ht="18" customHeight="1" x14ac:dyDescent="0.25">
      <c r="A9" s="36">
        <f>SUBTOTAL(3,$B$6:B9)</f>
        <v>4</v>
      </c>
      <c r="B9" s="13" t="s">
        <v>39</v>
      </c>
      <c r="C9" s="21">
        <v>0</v>
      </c>
      <c r="D9" s="21">
        <v>9</v>
      </c>
      <c r="E9" s="21">
        <v>0</v>
      </c>
      <c r="F9" s="21">
        <v>0</v>
      </c>
      <c r="G9" s="21">
        <v>0</v>
      </c>
      <c r="H9" s="21">
        <v>9</v>
      </c>
      <c r="I9" s="21">
        <f t="shared" si="0"/>
        <v>9</v>
      </c>
      <c r="J9" s="36" t="s">
        <v>101</v>
      </c>
    </row>
    <row r="10" spans="1:18" ht="18" customHeight="1" x14ac:dyDescent="0.25">
      <c r="A10" s="36"/>
      <c r="B10" s="9" t="s">
        <v>15</v>
      </c>
      <c r="C10" s="14">
        <f>SUM(C6:C9)</f>
        <v>0</v>
      </c>
      <c r="D10" s="14">
        <f>SUM(D6:D9)</f>
        <v>23</v>
      </c>
      <c r="E10" s="14">
        <f>SUM(E6:E9)</f>
        <v>14</v>
      </c>
      <c r="F10" s="14">
        <f>SUM(F6:F9)</f>
        <v>7</v>
      </c>
      <c r="G10" s="14">
        <f>SUM(G6:G9)</f>
        <v>7</v>
      </c>
      <c r="H10" s="14">
        <f>SUM(C10:G10)</f>
        <v>51</v>
      </c>
      <c r="I10" s="14">
        <f>SUM(I6:I9)</f>
        <v>51</v>
      </c>
      <c r="J10" s="11"/>
    </row>
    <row r="11" spans="1:18" ht="42" customHeight="1" x14ac:dyDescent="0.25">
      <c r="A11" s="63" t="s">
        <v>22</v>
      </c>
      <c r="B11" s="64"/>
      <c r="C11" s="64"/>
      <c r="D11" s="64"/>
      <c r="E11" s="64"/>
      <c r="F11" s="64"/>
      <c r="G11" s="64"/>
      <c r="H11" s="64"/>
      <c r="I11" s="64"/>
      <c r="J11" s="64"/>
    </row>
    <row r="12" spans="1:18" ht="36" customHeight="1" thickBot="1" x14ac:dyDescent="0.3">
      <c r="A12" s="14" t="s">
        <v>40</v>
      </c>
      <c r="B12" s="14" t="s">
        <v>3</v>
      </c>
      <c r="C12" s="33" t="s">
        <v>72</v>
      </c>
      <c r="D12" s="33" t="s">
        <v>73</v>
      </c>
      <c r="E12" s="33" t="s">
        <v>74</v>
      </c>
      <c r="F12" s="34" t="s">
        <v>75</v>
      </c>
      <c r="G12" s="34" t="s">
        <v>76</v>
      </c>
      <c r="H12" s="25" t="s">
        <v>49</v>
      </c>
      <c r="I12" s="26" t="s">
        <v>50</v>
      </c>
      <c r="J12" s="16" t="s">
        <v>2</v>
      </c>
    </row>
    <row r="13" spans="1:18" ht="18" customHeight="1" thickBot="1" x14ac:dyDescent="0.3">
      <c r="A13" s="6" t="s">
        <v>4</v>
      </c>
      <c r="B13" s="53" t="s">
        <v>5</v>
      </c>
      <c r="C13" s="54"/>
      <c r="D13" s="54"/>
      <c r="E13" s="54"/>
      <c r="F13" s="54"/>
      <c r="G13" s="54"/>
      <c r="H13" s="54"/>
      <c r="I13" s="54"/>
      <c r="J13" s="55"/>
      <c r="M13" s="29">
        <v>30</v>
      </c>
      <c r="N13" s="30">
        <v>93</v>
      </c>
      <c r="O13" s="30">
        <v>102</v>
      </c>
      <c r="P13" s="30">
        <v>59</v>
      </c>
      <c r="Q13" s="30">
        <v>35</v>
      </c>
      <c r="R13" s="20"/>
    </row>
    <row r="14" spans="1:18" ht="17.25" customHeight="1" thickBot="1" x14ac:dyDescent="0.3">
      <c r="A14" s="4">
        <v>1</v>
      </c>
      <c r="B14" s="13" t="s">
        <v>7</v>
      </c>
      <c r="C14" s="15">
        <v>0</v>
      </c>
      <c r="D14" s="15">
        <v>6</v>
      </c>
      <c r="E14" s="15">
        <v>6</v>
      </c>
      <c r="F14" s="15">
        <v>0</v>
      </c>
      <c r="G14" s="15">
        <v>0</v>
      </c>
      <c r="H14" s="15">
        <v>12</v>
      </c>
      <c r="I14" s="5">
        <f t="shared" ref="I14:I17" si="1">C14+D14+E14+F14+G14</f>
        <v>12</v>
      </c>
      <c r="J14" s="5" t="s">
        <v>64</v>
      </c>
      <c r="M14" s="31">
        <v>21</v>
      </c>
      <c r="N14" s="32">
        <v>66</v>
      </c>
      <c r="O14" s="32">
        <v>86</v>
      </c>
      <c r="P14" s="32">
        <v>301</v>
      </c>
      <c r="Q14" s="32">
        <v>35</v>
      </c>
      <c r="R14" s="20"/>
    </row>
    <row r="15" spans="1:18" ht="17.25" customHeight="1" x14ac:dyDescent="0.25">
      <c r="A15" s="4">
        <v>2</v>
      </c>
      <c r="B15" s="13" t="s">
        <v>6</v>
      </c>
      <c r="C15" s="15">
        <v>0</v>
      </c>
      <c r="D15" s="15">
        <v>9</v>
      </c>
      <c r="E15" s="15">
        <v>6</v>
      </c>
      <c r="F15" s="15">
        <v>0</v>
      </c>
      <c r="G15" s="15">
        <v>0</v>
      </c>
      <c r="H15" s="15">
        <v>15</v>
      </c>
      <c r="I15" s="5">
        <f t="shared" si="1"/>
        <v>15</v>
      </c>
      <c r="J15" s="5" t="s">
        <v>100</v>
      </c>
      <c r="M15" s="20">
        <f>SUM(M13:M14)</f>
        <v>51</v>
      </c>
      <c r="N15" s="20">
        <f>SUM(N13:N14)</f>
        <v>159</v>
      </c>
      <c r="O15" s="20">
        <f>SUM(O13:O14)</f>
        <v>188</v>
      </c>
      <c r="P15" s="20">
        <f>SUM(P13:P14)</f>
        <v>360</v>
      </c>
      <c r="Q15" s="20">
        <f>SUM(Q13:Q14)</f>
        <v>70</v>
      </c>
      <c r="R15" s="20">
        <f>SUM(M15:Q15)</f>
        <v>828</v>
      </c>
    </row>
    <row r="16" spans="1:18" ht="17.25" customHeight="1" x14ac:dyDescent="0.25">
      <c r="A16" s="4">
        <v>3</v>
      </c>
      <c r="B16" s="13" t="s">
        <v>84</v>
      </c>
      <c r="C16" s="15">
        <v>0</v>
      </c>
      <c r="D16" s="15">
        <v>6</v>
      </c>
      <c r="E16" s="15">
        <v>6</v>
      </c>
      <c r="F16" s="15">
        <v>6</v>
      </c>
      <c r="G16" s="15">
        <v>6</v>
      </c>
      <c r="H16" s="15">
        <v>24</v>
      </c>
      <c r="I16" s="5">
        <f t="shared" si="1"/>
        <v>24</v>
      </c>
      <c r="J16" s="5" t="s">
        <v>100</v>
      </c>
      <c r="M16" s="20"/>
      <c r="N16" s="20"/>
      <c r="O16" s="20"/>
      <c r="P16" s="20"/>
      <c r="Q16" s="20"/>
      <c r="R16" s="20"/>
    </row>
    <row r="17" spans="1:18" ht="17.25" customHeight="1" x14ac:dyDescent="0.25">
      <c r="A17" s="4">
        <v>4</v>
      </c>
      <c r="B17" s="13" t="s">
        <v>70</v>
      </c>
      <c r="C17" s="15">
        <v>0</v>
      </c>
      <c r="D17" s="15">
        <v>3</v>
      </c>
      <c r="E17" s="15">
        <v>6</v>
      </c>
      <c r="F17" s="15">
        <v>3</v>
      </c>
      <c r="G17" s="15">
        <v>0</v>
      </c>
      <c r="H17" s="15">
        <v>12</v>
      </c>
      <c r="I17" s="5">
        <f t="shared" si="1"/>
        <v>12</v>
      </c>
      <c r="J17" s="5" t="s">
        <v>102</v>
      </c>
      <c r="M17" s="20"/>
      <c r="N17" s="20"/>
      <c r="O17" s="20"/>
      <c r="P17" s="20"/>
      <c r="Q17" s="20"/>
      <c r="R17" s="20"/>
    </row>
    <row r="18" spans="1:18" ht="17.25" customHeight="1" x14ac:dyDescent="0.25">
      <c r="A18" s="3"/>
      <c r="B18" s="7" t="s">
        <v>15</v>
      </c>
      <c r="C18" s="14">
        <f>SUM(C14:C17)</f>
        <v>0</v>
      </c>
      <c r="D18" s="14">
        <f>SUM(D14:D17)</f>
        <v>24</v>
      </c>
      <c r="E18" s="14">
        <f>SUM(E14:E17)</f>
        <v>24</v>
      </c>
      <c r="F18" s="14">
        <f>SUM(F14:F17)</f>
        <v>9</v>
      </c>
      <c r="G18" s="14">
        <f>SUM(G14:G17)</f>
        <v>6</v>
      </c>
      <c r="H18" s="14">
        <f>SUM(C18:G18)</f>
        <v>63</v>
      </c>
      <c r="I18" s="14">
        <f>SUM(I14:I17)</f>
        <v>63</v>
      </c>
      <c r="J18" s="3"/>
    </row>
    <row r="19" spans="1:18" ht="45" customHeight="1" x14ac:dyDescent="0.25">
      <c r="A19" s="63" t="s">
        <v>22</v>
      </c>
      <c r="B19" s="63"/>
      <c r="C19" s="63"/>
      <c r="D19" s="63"/>
      <c r="E19" s="63"/>
      <c r="F19" s="63"/>
      <c r="G19" s="63"/>
      <c r="H19" s="63"/>
      <c r="I19" s="63"/>
      <c r="J19" s="63"/>
    </row>
    <row r="20" spans="1:18" ht="31.5" customHeight="1" x14ac:dyDescent="0.25">
      <c r="A20" s="14" t="s">
        <v>40</v>
      </c>
      <c r="B20" s="14" t="s">
        <v>3</v>
      </c>
      <c r="C20" s="33" t="s">
        <v>72</v>
      </c>
      <c r="D20" s="33" t="s">
        <v>73</v>
      </c>
      <c r="E20" s="33" t="s">
        <v>74</v>
      </c>
      <c r="F20" s="34" t="s">
        <v>75</v>
      </c>
      <c r="G20" s="34" t="s">
        <v>76</v>
      </c>
      <c r="H20" s="25" t="s">
        <v>49</v>
      </c>
      <c r="I20" s="26" t="s">
        <v>50</v>
      </c>
      <c r="J20" s="16" t="s">
        <v>2</v>
      </c>
    </row>
    <row r="21" spans="1:18" ht="18" customHeight="1" x14ac:dyDescent="0.25">
      <c r="A21" s="6" t="s">
        <v>8</v>
      </c>
      <c r="B21" s="53" t="s">
        <v>67</v>
      </c>
      <c r="C21" s="54"/>
      <c r="D21" s="54"/>
      <c r="E21" s="54"/>
      <c r="F21" s="54"/>
      <c r="G21" s="54"/>
      <c r="H21" s="54"/>
      <c r="I21" s="54"/>
      <c r="J21" s="55"/>
    </row>
    <row r="22" spans="1:18" ht="17.25" customHeight="1" x14ac:dyDescent="0.25">
      <c r="A22" s="5">
        <v>1</v>
      </c>
      <c r="B22" s="8" t="s">
        <v>11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5">
        <f t="shared" ref="I22:I28" si="2">C22+D22+E22+F22+G22</f>
        <v>0</v>
      </c>
      <c r="J22" s="5"/>
    </row>
    <row r="23" spans="1:18" ht="17.25" customHeight="1" x14ac:dyDescent="0.25">
      <c r="A23" s="15">
        <v>2</v>
      </c>
      <c r="B23" s="8" t="s">
        <v>79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5">
        <f t="shared" si="2"/>
        <v>0</v>
      </c>
      <c r="J23" s="5"/>
    </row>
    <row r="24" spans="1:18" ht="17.25" customHeight="1" x14ac:dyDescent="0.25">
      <c r="A24" s="5">
        <v>3</v>
      </c>
      <c r="B24" s="8" t="s">
        <v>10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5">
        <f t="shared" si="2"/>
        <v>0</v>
      </c>
      <c r="J24" s="5"/>
    </row>
    <row r="25" spans="1:18" ht="17.25" customHeight="1" x14ac:dyDescent="0.25">
      <c r="A25" s="15">
        <v>4</v>
      </c>
      <c r="B25" s="8" t="s">
        <v>12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5">
        <f t="shared" si="2"/>
        <v>0</v>
      </c>
      <c r="J25" s="5"/>
    </row>
    <row r="26" spans="1:18" ht="17.25" customHeight="1" x14ac:dyDescent="0.25">
      <c r="A26" s="5">
        <v>5</v>
      </c>
      <c r="B26" s="8" t="s">
        <v>14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5">
        <f t="shared" si="2"/>
        <v>0</v>
      </c>
      <c r="J26" s="5"/>
    </row>
    <row r="27" spans="1:18" ht="17.25" customHeight="1" x14ac:dyDescent="0.25">
      <c r="A27" s="15">
        <v>6</v>
      </c>
      <c r="B27" s="8" t="s">
        <v>9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5">
        <f t="shared" si="2"/>
        <v>0</v>
      </c>
      <c r="J27" s="5"/>
    </row>
    <row r="28" spans="1:18" ht="17.25" customHeight="1" x14ac:dyDescent="0.25">
      <c r="A28" s="5">
        <v>7</v>
      </c>
      <c r="B28" s="8" t="s">
        <v>13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5">
        <f t="shared" si="2"/>
        <v>0</v>
      </c>
      <c r="J28" s="5"/>
    </row>
    <row r="29" spans="1:18" ht="17.25" customHeight="1" x14ac:dyDescent="0.25">
      <c r="A29" s="3"/>
      <c r="B29" s="7" t="s">
        <v>15</v>
      </c>
      <c r="C29" s="14">
        <f t="shared" ref="C29:I29" si="3">SUM(C22:C28)</f>
        <v>0</v>
      </c>
      <c r="D29" s="14">
        <f t="shared" si="3"/>
        <v>0</v>
      </c>
      <c r="E29" s="14">
        <f t="shared" si="3"/>
        <v>0</v>
      </c>
      <c r="F29" s="14">
        <f t="shared" si="3"/>
        <v>0</v>
      </c>
      <c r="G29" s="14">
        <f t="shared" si="3"/>
        <v>0</v>
      </c>
      <c r="H29" s="14">
        <f>SUM(C29:G29)</f>
        <v>0</v>
      </c>
      <c r="I29" s="14">
        <f t="shared" si="3"/>
        <v>0</v>
      </c>
      <c r="J29" s="3"/>
    </row>
    <row r="30" spans="1:18" ht="45" customHeight="1" x14ac:dyDescent="0.25">
      <c r="A30" s="63" t="s">
        <v>22</v>
      </c>
      <c r="B30" s="63"/>
      <c r="C30" s="63"/>
      <c r="D30" s="63"/>
      <c r="E30" s="63"/>
      <c r="F30" s="63"/>
      <c r="G30" s="63"/>
      <c r="H30" s="63"/>
      <c r="I30" s="63"/>
      <c r="J30" s="63"/>
    </row>
    <row r="31" spans="1:18" ht="27" customHeight="1" x14ac:dyDescent="0.25">
      <c r="A31" s="14" t="s">
        <v>40</v>
      </c>
      <c r="B31" s="14" t="s">
        <v>3</v>
      </c>
      <c r="C31" s="33" t="s">
        <v>72</v>
      </c>
      <c r="D31" s="33" t="s">
        <v>73</v>
      </c>
      <c r="E31" s="33" t="s">
        <v>74</v>
      </c>
      <c r="F31" s="34" t="s">
        <v>75</v>
      </c>
      <c r="G31" s="34" t="s">
        <v>76</v>
      </c>
      <c r="H31" s="25" t="s">
        <v>49</v>
      </c>
      <c r="I31" s="26" t="s">
        <v>50</v>
      </c>
      <c r="J31" s="16" t="s">
        <v>2</v>
      </c>
    </row>
    <row r="32" spans="1:18" ht="21" customHeight="1" x14ac:dyDescent="0.25">
      <c r="A32" s="6" t="s">
        <v>25</v>
      </c>
      <c r="B32" s="53" t="s">
        <v>24</v>
      </c>
      <c r="C32" s="54"/>
      <c r="D32" s="54"/>
      <c r="E32" s="54"/>
      <c r="F32" s="54"/>
      <c r="G32" s="54"/>
      <c r="H32" s="54"/>
      <c r="I32" s="54"/>
      <c r="J32" s="55"/>
    </row>
    <row r="33" spans="1:19" ht="18.75" customHeight="1" x14ac:dyDescent="0.25">
      <c r="A33" s="4">
        <v>1</v>
      </c>
      <c r="B33" s="8" t="s">
        <v>28</v>
      </c>
      <c r="C33" s="15">
        <v>0</v>
      </c>
      <c r="D33" s="15">
        <v>0</v>
      </c>
      <c r="E33" s="15">
        <v>0</v>
      </c>
      <c r="F33" s="15">
        <v>14</v>
      </c>
      <c r="G33" s="15">
        <v>0</v>
      </c>
      <c r="H33" s="15">
        <v>14</v>
      </c>
      <c r="I33" s="5">
        <f t="shared" ref="I33:I40" si="4">C33+D33+E33+F33+G33</f>
        <v>14</v>
      </c>
      <c r="J33" s="17" t="s">
        <v>51</v>
      </c>
    </row>
    <row r="34" spans="1:19" ht="18.75" customHeight="1" x14ac:dyDescent="0.25">
      <c r="A34" s="4">
        <v>2</v>
      </c>
      <c r="B34" s="8" t="s">
        <v>80</v>
      </c>
      <c r="C34" s="15">
        <v>0</v>
      </c>
      <c r="D34" s="15">
        <v>0</v>
      </c>
      <c r="E34" s="15">
        <v>2</v>
      </c>
      <c r="F34" s="15">
        <v>2</v>
      </c>
      <c r="G34" s="15">
        <v>0</v>
      </c>
      <c r="H34" s="15">
        <v>4</v>
      </c>
      <c r="I34" s="5">
        <f t="shared" si="4"/>
        <v>4</v>
      </c>
      <c r="J34" s="5" t="s">
        <v>71</v>
      </c>
    </row>
    <row r="35" spans="1:19" ht="18.75" customHeight="1" x14ac:dyDescent="0.25">
      <c r="A35" s="4">
        <v>3</v>
      </c>
      <c r="B35" s="8" t="s">
        <v>30</v>
      </c>
      <c r="C35" s="15">
        <v>0</v>
      </c>
      <c r="D35" s="15">
        <v>0</v>
      </c>
      <c r="E35" s="15">
        <v>0</v>
      </c>
      <c r="F35" s="15">
        <v>2</v>
      </c>
      <c r="G35" s="15">
        <v>0</v>
      </c>
      <c r="H35" s="15">
        <v>2</v>
      </c>
      <c r="I35" s="5">
        <f t="shared" si="4"/>
        <v>2</v>
      </c>
      <c r="J35" s="5" t="s">
        <v>83</v>
      </c>
    </row>
    <row r="36" spans="1:19" ht="18.75" customHeight="1" x14ac:dyDescent="0.25">
      <c r="A36" s="4">
        <v>4</v>
      </c>
      <c r="B36" s="8" t="s">
        <v>26</v>
      </c>
      <c r="C36" s="15">
        <v>0</v>
      </c>
      <c r="D36" s="15">
        <v>7</v>
      </c>
      <c r="E36" s="15">
        <v>5</v>
      </c>
      <c r="F36" s="15">
        <v>0</v>
      </c>
      <c r="G36" s="15">
        <v>0</v>
      </c>
      <c r="H36" s="15">
        <v>12</v>
      </c>
      <c r="I36" s="5">
        <f t="shared" si="4"/>
        <v>12</v>
      </c>
      <c r="J36" s="17" t="s">
        <v>51</v>
      </c>
    </row>
    <row r="37" spans="1:19" s="20" customFormat="1" ht="18.75" customHeight="1" x14ac:dyDescent="0.25">
      <c r="A37" s="4">
        <v>5</v>
      </c>
      <c r="B37" s="8" t="s">
        <v>27</v>
      </c>
      <c r="C37" s="19">
        <v>0</v>
      </c>
      <c r="D37" s="19">
        <v>3</v>
      </c>
      <c r="E37" s="19">
        <v>3</v>
      </c>
      <c r="F37" s="19">
        <v>0</v>
      </c>
      <c r="G37" s="19">
        <v>0</v>
      </c>
      <c r="H37" s="19">
        <v>6</v>
      </c>
      <c r="I37" s="18">
        <f t="shared" si="4"/>
        <v>6</v>
      </c>
      <c r="J37" s="5" t="s">
        <v>66</v>
      </c>
    </row>
    <row r="38" spans="1:19" s="20" customFormat="1" ht="18.75" customHeight="1" thickBot="1" x14ac:dyDescent="0.3">
      <c r="A38" s="4">
        <v>6</v>
      </c>
      <c r="B38" s="8" t="s">
        <v>31</v>
      </c>
      <c r="C38" s="19">
        <v>0</v>
      </c>
      <c r="D38" s="19">
        <v>0</v>
      </c>
      <c r="E38" s="19">
        <v>3</v>
      </c>
      <c r="F38" s="19">
        <v>0</v>
      </c>
      <c r="G38" s="19">
        <v>0</v>
      </c>
      <c r="H38" s="19">
        <v>3</v>
      </c>
      <c r="I38" s="18">
        <f t="shared" si="4"/>
        <v>3</v>
      </c>
      <c r="J38" s="5" t="s">
        <v>66</v>
      </c>
      <c r="M38" s="31"/>
      <c r="N38" s="32"/>
      <c r="O38" s="32"/>
      <c r="P38" s="32"/>
      <c r="Q38" s="32"/>
    </row>
    <row r="39" spans="1:19" s="20" customFormat="1" ht="18.75" customHeight="1" thickBot="1" x14ac:dyDescent="0.3">
      <c r="A39" s="4">
        <v>7</v>
      </c>
      <c r="B39" s="8" t="s">
        <v>65</v>
      </c>
      <c r="C39" s="19">
        <v>0</v>
      </c>
      <c r="D39" s="19">
        <v>0</v>
      </c>
      <c r="E39" s="19">
        <v>6</v>
      </c>
      <c r="F39" s="19">
        <v>3</v>
      </c>
      <c r="G39" s="19">
        <v>0</v>
      </c>
      <c r="H39" s="18">
        <v>9</v>
      </c>
      <c r="I39" s="18">
        <f t="shared" si="4"/>
        <v>9</v>
      </c>
      <c r="J39" s="5" t="s">
        <v>66</v>
      </c>
      <c r="M39" s="31"/>
      <c r="N39" s="32"/>
      <c r="O39" s="32"/>
      <c r="P39" s="32"/>
      <c r="Q39" s="32"/>
    </row>
    <row r="40" spans="1:19" s="20" customFormat="1" ht="18.75" customHeight="1" thickBot="1" x14ac:dyDescent="0.3">
      <c r="A40" s="4">
        <v>8</v>
      </c>
      <c r="B40" s="8" t="s">
        <v>29</v>
      </c>
      <c r="C40" s="19">
        <v>0</v>
      </c>
      <c r="D40" s="19">
        <v>3</v>
      </c>
      <c r="E40" s="19">
        <v>0</v>
      </c>
      <c r="F40" s="19">
        <v>0</v>
      </c>
      <c r="G40" s="19">
        <v>0</v>
      </c>
      <c r="H40" s="19">
        <v>3</v>
      </c>
      <c r="I40" s="18">
        <f t="shared" si="4"/>
        <v>3</v>
      </c>
      <c r="J40" s="5" t="s">
        <v>66</v>
      </c>
      <c r="M40" s="31"/>
      <c r="N40" s="32"/>
      <c r="O40" s="32"/>
      <c r="P40" s="32"/>
      <c r="Q40" s="32"/>
    </row>
    <row r="41" spans="1:19" ht="18.75" customHeight="1" x14ac:dyDescent="0.25">
      <c r="A41" s="5"/>
      <c r="B41" s="9" t="s">
        <v>15</v>
      </c>
      <c r="C41" s="16">
        <f t="shared" ref="C41:I41" si="5">SUM(C33:C40)</f>
        <v>0</v>
      </c>
      <c r="D41" s="16">
        <f t="shared" si="5"/>
        <v>13</v>
      </c>
      <c r="E41" s="16">
        <f t="shared" si="5"/>
        <v>19</v>
      </c>
      <c r="F41" s="16">
        <f t="shared" si="5"/>
        <v>21</v>
      </c>
      <c r="G41" s="16">
        <f t="shared" si="5"/>
        <v>0</v>
      </c>
      <c r="H41" s="16">
        <f>SUM(C41:G41)</f>
        <v>53</v>
      </c>
      <c r="I41" s="16">
        <f t="shared" si="5"/>
        <v>53</v>
      </c>
      <c r="J41" s="5"/>
      <c r="M41" s="37"/>
      <c r="N41" s="37"/>
      <c r="O41" s="37"/>
      <c r="P41" s="37"/>
      <c r="Q41" s="37"/>
      <c r="R41" s="37"/>
    </row>
    <row r="42" spans="1:19" ht="47.25" customHeight="1" thickBot="1" x14ac:dyDescent="0.3">
      <c r="A42" s="65" t="s">
        <v>22</v>
      </c>
      <c r="B42" s="65"/>
      <c r="C42" s="65"/>
      <c r="D42" s="65"/>
      <c r="E42" s="65"/>
      <c r="F42" s="65"/>
      <c r="G42" s="65"/>
      <c r="H42" s="65"/>
      <c r="I42" s="65"/>
      <c r="J42" s="65"/>
    </row>
    <row r="43" spans="1:19" ht="25.5" customHeight="1" thickBot="1" x14ac:dyDescent="0.3">
      <c r="A43" s="14" t="s">
        <v>40</v>
      </c>
      <c r="B43" s="14" t="s">
        <v>3</v>
      </c>
      <c r="C43" s="33" t="s">
        <v>72</v>
      </c>
      <c r="D43" s="33" t="s">
        <v>73</v>
      </c>
      <c r="E43" s="33" t="s">
        <v>74</v>
      </c>
      <c r="F43" s="34" t="s">
        <v>75</v>
      </c>
      <c r="G43" s="34" t="s">
        <v>76</v>
      </c>
      <c r="H43" s="25" t="s">
        <v>49</v>
      </c>
      <c r="I43" s="26" t="s">
        <v>50</v>
      </c>
      <c r="J43" s="16" t="s">
        <v>2</v>
      </c>
      <c r="M43" s="38" t="s">
        <v>85</v>
      </c>
      <c r="N43" s="39" t="s">
        <v>86</v>
      </c>
      <c r="O43" s="39" t="s">
        <v>81</v>
      </c>
      <c r="P43" s="39" t="s">
        <v>87</v>
      </c>
      <c r="Q43" s="39" t="s">
        <v>88</v>
      </c>
      <c r="R43" s="39" t="s">
        <v>82</v>
      </c>
      <c r="S43" s="40" t="s">
        <v>2</v>
      </c>
    </row>
    <row r="44" spans="1:19" ht="17.25" customHeight="1" thickBot="1" x14ac:dyDescent="0.3">
      <c r="A44" s="6" t="s">
        <v>106</v>
      </c>
      <c r="B44" s="53" t="s">
        <v>34</v>
      </c>
      <c r="C44" s="54"/>
      <c r="D44" s="54"/>
      <c r="E44" s="54"/>
      <c r="F44" s="54"/>
      <c r="G44" s="54"/>
      <c r="H44" s="54"/>
      <c r="I44" s="54"/>
      <c r="J44" s="55"/>
      <c r="M44" s="41" t="s">
        <v>89</v>
      </c>
      <c r="N44" s="32">
        <v>12</v>
      </c>
      <c r="O44" s="32">
        <v>24</v>
      </c>
      <c r="P44" s="32">
        <v>57</v>
      </c>
      <c r="Q44" s="32">
        <v>35</v>
      </c>
      <c r="R44" s="32">
        <v>32</v>
      </c>
      <c r="S44" s="42"/>
    </row>
    <row r="45" spans="1:19" ht="16.5" customHeight="1" thickBot="1" x14ac:dyDescent="0.3">
      <c r="A45" s="5">
        <v>1</v>
      </c>
      <c r="B45" s="8" t="s">
        <v>36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5">
        <f>C45+D45+E45+F45+G45</f>
        <v>0</v>
      </c>
      <c r="J45" s="35"/>
      <c r="M45" s="41" t="s">
        <v>90</v>
      </c>
      <c r="N45" s="32">
        <v>27</v>
      </c>
      <c r="O45" s="32">
        <v>42</v>
      </c>
      <c r="P45" s="32">
        <v>133</v>
      </c>
      <c r="Q45" s="32">
        <v>52</v>
      </c>
      <c r="R45" s="32">
        <v>21</v>
      </c>
      <c r="S45" s="42"/>
    </row>
    <row r="46" spans="1:19" ht="16.5" customHeight="1" thickBot="1" x14ac:dyDescent="0.3">
      <c r="A46" s="4">
        <v>2</v>
      </c>
      <c r="B46" s="8" t="s">
        <v>35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5">
        <f t="shared" ref="I46:I48" si="6">C46+D46+E46+F46+G46</f>
        <v>0</v>
      </c>
      <c r="J46" s="35"/>
      <c r="M46" s="41" t="s">
        <v>91</v>
      </c>
      <c r="N46" s="32">
        <v>30</v>
      </c>
      <c r="O46" s="32">
        <v>93</v>
      </c>
      <c r="P46" s="32">
        <v>102</v>
      </c>
      <c r="Q46" s="32">
        <v>59</v>
      </c>
      <c r="R46" s="32">
        <v>35</v>
      </c>
      <c r="S46" s="42"/>
    </row>
    <row r="47" spans="1:19" ht="16.5" customHeight="1" thickBot="1" x14ac:dyDescent="0.3">
      <c r="A47" s="5">
        <v>3</v>
      </c>
      <c r="B47" s="8" t="s">
        <v>38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5">
        <f t="shared" si="6"/>
        <v>0</v>
      </c>
      <c r="J47" s="35"/>
      <c r="M47" s="43" t="s">
        <v>92</v>
      </c>
      <c r="N47" s="44">
        <v>69</v>
      </c>
      <c r="O47" s="44">
        <v>159</v>
      </c>
      <c r="P47" s="44">
        <v>292</v>
      </c>
      <c r="Q47" s="44">
        <v>146</v>
      </c>
      <c r="R47" s="44">
        <v>88</v>
      </c>
      <c r="S47" s="42">
        <v>754</v>
      </c>
    </row>
    <row r="48" spans="1:19" ht="16.5" customHeight="1" x14ac:dyDescent="0.25">
      <c r="A48" s="4">
        <v>4</v>
      </c>
      <c r="B48" s="8" t="s">
        <v>37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5">
        <f t="shared" si="6"/>
        <v>0</v>
      </c>
      <c r="J48" s="35"/>
    </row>
    <row r="49" spans="1:20" ht="16.5" customHeight="1" thickBot="1" x14ac:dyDescent="0.3">
      <c r="A49" s="5"/>
      <c r="B49" s="9" t="s">
        <v>15</v>
      </c>
      <c r="C49" s="16">
        <f t="shared" ref="C49:I49" si="7">SUM(C45:C48)</f>
        <v>0</v>
      </c>
      <c r="D49" s="16">
        <f t="shared" si="7"/>
        <v>0</v>
      </c>
      <c r="E49" s="16">
        <f t="shared" si="7"/>
        <v>0</v>
      </c>
      <c r="F49" s="16">
        <f t="shared" si="7"/>
        <v>0</v>
      </c>
      <c r="G49" s="16">
        <f t="shared" si="7"/>
        <v>0</v>
      </c>
      <c r="H49" s="28">
        <f t="shared" si="7"/>
        <v>0</v>
      </c>
      <c r="I49" s="28">
        <f t="shared" si="7"/>
        <v>0</v>
      </c>
      <c r="J49" s="5"/>
      <c r="M49" s="41" t="s">
        <v>93</v>
      </c>
      <c r="N49" s="32">
        <v>33</v>
      </c>
      <c r="O49" s="32">
        <v>75</v>
      </c>
      <c r="P49" s="32">
        <v>53</v>
      </c>
      <c r="Q49" s="32">
        <v>126</v>
      </c>
      <c r="R49" s="32">
        <v>27</v>
      </c>
      <c r="S49" s="42"/>
    </row>
    <row r="50" spans="1:20" ht="45" customHeight="1" thickBot="1" x14ac:dyDescent="0.3">
      <c r="A50" s="65" t="s">
        <v>22</v>
      </c>
      <c r="B50" s="65"/>
      <c r="C50" s="65"/>
      <c r="D50" s="65"/>
      <c r="E50" s="65"/>
      <c r="F50" s="65"/>
      <c r="G50" s="65"/>
      <c r="H50" s="65"/>
      <c r="I50" s="65"/>
      <c r="J50" s="65"/>
      <c r="M50" s="41" t="s">
        <v>94</v>
      </c>
      <c r="N50" s="32">
        <v>21</v>
      </c>
      <c r="O50" s="32">
        <v>66</v>
      </c>
      <c r="P50" s="32">
        <v>86</v>
      </c>
      <c r="Q50" s="32">
        <v>301</v>
      </c>
      <c r="R50" s="32">
        <v>35</v>
      </c>
      <c r="S50" s="42"/>
    </row>
    <row r="51" spans="1:20" ht="15.75" customHeight="1" thickBot="1" x14ac:dyDescent="0.3">
      <c r="A51" s="2" t="s">
        <v>17</v>
      </c>
      <c r="B51" s="2"/>
      <c r="C51" s="2"/>
      <c r="D51" s="2"/>
      <c r="E51" s="2"/>
      <c r="F51" s="2"/>
      <c r="G51" s="2"/>
      <c r="H51" s="2"/>
      <c r="I51" s="2"/>
      <c r="J51" s="2"/>
      <c r="M51" s="41" t="s">
        <v>95</v>
      </c>
      <c r="N51" s="32">
        <v>0</v>
      </c>
      <c r="O51" s="32">
        <v>45</v>
      </c>
      <c r="P51" s="32">
        <v>148</v>
      </c>
      <c r="Q51" s="32">
        <v>408</v>
      </c>
      <c r="R51" s="45">
        <v>49</v>
      </c>
      <c r="S51" s="46"/>
    </row>
    <row r="52" spans="1:20" s="12" customFormat="1" ht="15.75" customHeight="1" thickBot="1" x14ac:dyDescent="0.3">
      <c r="A52" s="23" t="s">
        <v>41</v>
      </c>
      <c r="B52" s="67" t="s">
        <v>1</v>
      </c>
      <c r="C52" s="67"/>
      <c r="D52" s="67"/>
      <c r="E52" s="67"/>
      <c r="F52" s="67"/>
      <c r="G52" s="67"/>
      <c r="H52" s="67"/>
      <c r="I52" s="67"/>
      <c r="J52" s="67"/>
      <c r="M52" s="43" t="s">
        <v>92</v>
      </c>
      <c r="N52" s="44">
        <v>54</v>
      </c>
      <c r="O52" s="44">
        <v>186</v>
      </c>
      <c r="P52" s="44">
        <v>287</v>
      </c>
      <c r="Q52" s="44">
        <v>835</v>
      </c>
      <c r="R52" s="44">
        <v>111</v>
      </c>
      <c r="S52" s="42">
        <v>1473</v>
      </c>
    </row>
    <row r="53" spans="1:20" ht="15.75" customHeight="1" x14ac:dyDescent="0.25">
      <c r="A53" s="24" t="s">
        <v>52</v>
      </c>
      <c r="B53" s="10" t="s">
        <v>32</v>
      </c>
      <c r="C53" s="10"/>
      <c r="D53" s="10"/>
      <c r="E53" s="10">
        <f>COUNTIF($B$6:B9,"*")</f>
        <v>4</v>
      </c>
      <c r="F53" s="10" t="s">
        <v>33</v>
      </c>
      <c r="G53" s="10"/>
      <c r="H53" s="10"/>
      <c r="I53" s="10"/>
      <c r="J53" s="10"/>
    </row>
    <row r="54" spans="1:20" ht="15.75" customHeight="1" thickBot="1" x14ac:dyDescent="0.3">
      <c r="A54" s="24" t="s">
        <v>53</v>
      </c>
      <c r="B54" s="10" t="s">
        <v>19</v>
      </c>
      <c r="C54" s="10"/>
      <c r="D54" s="10"/>
      <c r="E54" s="10">
        <f>I10</f>
        <v>51</v>
      </c>
      <c r="F54" s="10" t="s">
        <v>18</v>
      </c>
      <c r="G54" s="10"/>
      <c r="H54" s="10"/>
      <c r="I54" s="10"/>
      <c r="J54" s="10"/>
    </row>
    <row r="55" spans="1:20" s="12" customFormat="1" ht="15.75" customHeight="1" thickBot="1" x14ac:dyDescent="0.3">
      <c r="A55" s="23" t="s">
        <v>42</v>
      </c>
      <c r="B55" s="68" t="s">
        <v>5</v>
      </c>
      <c r="C55" s="68"/>
      <c r="D55" s="68"/>
      <c r="E55" s="68"/>
      <c r="F55" s="68"/>
      <c r="G55" s="68"/>
      <c r="H55" s="68"/>
      <c r="I55" s="68"/>
      <c r="J55" s="68"/>
      <c r="M55" s="38" t="s">
        <v>85</v>
      </c>
      <c r="N55" s="39" t="s">
        <v>86</v>
      </c>
      <c r="O55" s="39" t="s">
        <v>81</v>
      </c>
      <c r="P55" s="39" t="s">
        <v>87</v>
      </c>
      <c r="Q55" s="39" t="s">
        <v>88</v>
      </c>
      <c r="R55" s="39" t="s">
        <v>82</v>
      </c>
      <c r="S55" s="40" t="s">
        <v>96</v>
      </c>
    </row>
    <row r="56" spans="1:20" ht="15.75" customHeight="1" thickBot="1" x14ac:dyDescent="0.3">
      <c r="A56" s="24" t="s">
        <v>54</v>
      </c>
      <c r="B56" s="10" t="s">
        <v>32</v>
      </c>
      <c r="C56" s="10"/>
      <c r="D56" s="10"/>
      <c r="E56" s="10">
        <f>COUNTIF($B$14:B17,"*")</f>
        <v>4</v>
      </c>
      <c r="F56" s="10" t="s">
        <v>33</v>
      </c>
      <c r="G56" s="10"/>
      <c r="H56" s="10"/>
      <c r="I56" s="10"/>
      <c r="J56" s="10"/>
      <c r="M56" s="41" t="s">
        <v>97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42">
        <v>0</v>
      </c>
    </row>
    <row r="57" spans="1:20" ht="15.75" customHeight="1" thickBot="1" x14ac:dyDescent="0.3">
      <c r="A57" s="24" t="s">
        <v>55</v>
      </c>
      <c r="B57" s="10" t="s">
        <v>19</v>
      </c>
      <c r="C57" s="10"/>
      <c r="D57" s="10"/>
      <c r="E57" s="10">
        <f>I18</f>
        <v>63</v>
      </c>
      <c r="F57" s="10" t="s">
        <v>18</v>
      </c>
      <c r="G57" s="10"/>
      <c r="H57" s="10"/>
      <c r="I57" s="10"/>
      <c r="J57" s="10"/>
      <c r="M57" s="41" t="s">
        <v>98</v>
      </c>
      <c r="N57" s="47">
        <v>0</v>
      </c>
      <c r="O57" s="47">
        <v>72</v>
      </c>
      <c r="P57" s="47">
        <v>88</v>
      </c>
      <c r="Q57" s="47">
        <v>136</v>
      </c>
      <c r="R57" s="47">
        <v>46</v>
      </c>
      <c r="S57" s="48">
        <v>342</v>
      </c>
    </row>
    <row r="58" spans="1:20" s="12" customFormat="1" ht="15.75" customHeight="1" thickBot="1" x14ac:dyDescent="0.3">
      <c r="A58" s="23" t="s">
        <v>43</v>
      </c>
      <c r="B58" s="68" t="s">
        <v>67</v>
      </c>
      <c r="C58" s="68"/>
      <c r="D58" s="68"/>
      <c r="E58" s="68"/>
      <c r="F58" s="68"/>
      <c r="G58" s="68"/>
      <c r="H58" s="68"/>
      <c r="I58" s="68"/>
      <c r="J58" s="68"/>
      <c r="M58" s="41" t="s">
        <v>99</v>
      </c>
      <c r="N58" s="47">
        <v>0</v>
      </c>
      <c r="O58" s="47">
        <v>0</v>
      </c>
      <c r="P58" s="47">
        <v>38</v>
      </c>
      <c r="Q58" s="47">
        <v>143</v>
      </c>
      <c r="R58" s="47">
        <v>37</v>
      </c>
      <c r="S58" s="48">
        <v>218</v>
      </c>
    </row>
    <row r="59" spans="1:20" ht="15.75" customHeight="1" thickBot="1" x14ac:dyDescent="0.3">
      <c r="A59" s="24" t="s">
        <v>56</v>
      </c>
      <c r="B59" s="10" t="s">
        <v>32</v>
      </c>
      <c r="C59" s="10"/>
      <c r="D59" s="10"/>
      <c r="E59" s="10">
        <f>COUNTIF(B22:B28,"*")</f>
        <v>7</v>
      </c>
      <c r="F59" s="10" t="s">
        <v>33</v>
      </c>
      <c r="G59" s="10"/>
      <c r="H59" s="10"/>
      <c r="I59" s="10"/>
      <c r="J59" s="10"/>
      <c r="M59" s="43" t="s">
        <v>92</v>
      </c>
      <c r="N59" s="47">
        <v>0</v>
      </c>
      <c r="O59" s="47">
        <v>72</v>
      </c>
      <c r="P59" s="47">
        <v>126</v>
      </c>
      <c r="Q59" s="47">
        <v>279</v>
      </c>
      <c r="R59" s="49">
        <v>83</v>
      </c>
      <c r="S59" s="46">
        <v>560</v>
      </c>
    </row>
    <row r="60" spans="1:20" ht="15.75" customHeight="1" x14ac:dyDescent="0.25">
      <c r="A60" s="24" t="s">
        <v>57</v>
      </c>
      <c r="B60" s="10" t="s">
        <v>19</v>
      </c>
      <c r="C60" s="10"/>
      <c r="D60" s="10"/>
      <c r="E60" s="10">
        <f>I29</f>
        <v>0</v>
      </c>
      <c r="F60" s="10" t="s">
        <v>18</v>
      </c>
      <c r="G60" s="10"/>
      <c r="H60" s="10"/>
      <c r="I60" s="10"/>
      <c r="J60" s="10"/>
    </row>
    <row r="61" spans="1:20" s="12" customFormat="1" ht="15.75" customHeight="1" x14ac:dyDescent="0.25">
      <c r="A61" s="23" t="s">
        <v>44</v>
      </c>
      <c r="B61" s="68" t="s">
        <v>24</v>
      </c>
      <c r="C61" s="68"/>
      <c r="D61" s="68"/>
      <c r="E61" s="68"/>
      <c r="F61" s="68"/>
      <c r="G61" s="68"/>
      <c r="H61" s="68"/>
      <c r="I61" s="68"/>
      <c r="J61" s="68"/>
    </row>
    <row r="62" spans="1:20" ht="15.75" customHeight="1" thickBot="1" x14ac:dyDescent="0.3">
      <c r="A62" s="24" t="s">
        <v>58</v>
      </c>
      <c r="B62" s="10" t="s">
        <v>32</v>
      </c>
      <c r="C62" s="10"/>
      <c r="D62" s="10"/>
      <c r="E62" s="10">
        <f>COUNTIF($B$33:B40,"*")</f>
        <v>8</v>
      </c>
      <c r="F62" s="10" t="s">
        <v>33</v>
      </c>
      <c r="G62" s="10"/>
      <c r="H62" s="10"/>
      <c r="I62" s="10"/>
      <c r="J62" s="10"/>
      <c r="N62">
        <f>SUM(N47+N52+N59)</f>
        <v>123</v>
      </c>
      <c r="O62">
        <f>SUM(O47+O52+O59)</f>
        <v>417</v>
      </c>
      <c r="P62">
        <f>SUM(P47+P52+P59)</f>
        <v>705</v>
      </c>
      <c r="Q62">
        <f>SUM(Q47+Q52+Q59)</f>
        <v>1260</v>
      </c>
      <c r="R62">
        <f>SUM(R47+R52+R59)</f>
        <v>282</v>
      </c>
      <c r="S62">
        <f>SUM(N62:R62)</f>
        <v>2787</v>
      </c>
      <c r="T62">
        <f>SUM(S47+S52+S59)</f>
        <v>2787</v>
      </c>
    </row>
    <row r="63" spans="1:20" ht="15.75" customHeight="1" thickBot="1" x14ac:dyDescent="0.3">
      <c r="A63" s="24" t="s">
        <v>59</v>
      </c>
      <c r="B63" s="10" t="s">
        <v>19</v>
      </c>
      <c r="C63" s="10"/>
      <c r="D63" s="10"/>
      <c r="E63" s="10">
        <f>I41</f>
        <v>53</v>
      </c>
      <c r="F63" s="10" t="s">
        <v>18</v>
      </c>
      <c r="G63" s="10"/>
      <c r="H63" s="10"/>
      <c r="I63" s="10"/>
      <c r="J63" s="10"/>
      <c r="M63" s="50" t="s">
        <v>85</v>
      </c>
      <c r="N63" s="39" t="s">
        <v>86</v>
      </c>
      <c r="O63" s="39" t="s">
        <v>81</v>
      </c>
      <c r="P63" s="39" t="s">
        <v>87</v>
      </c>
      <c r="Q63" s="39" t="s">
        <v>88</v>
      </c>
      <c r="R63" s="39" t="s">
        <v>82</v>
      </c>
      <c r="S63" s="40" t="s">
        <v>96</v>
      </c>
    </row>
    <row r="64" spans="1:20" ht="15.75" customHeight="1" thickBot="1" x14ac:dyDescent="0.3">
      <c r="A64" s="23" t="s">
        <v>45</v>
      </c>
      <c r="B64" s="68" t="s">
        <v>34</v>
      </c>
      <c r="C64" s="68"/>
      <c r="D64" s="68"/>
      <c r="E64" s="68"/>
      <c r="F64" s="68"/>
      <c r="G64" s="68"/>
      <c r="H64" s="68"/>
      <c r="I64" s="68"/>
      <c r="J64" s="68"/>
      <c r="M64" s="51" t="s">
        <v>103</v>
      </c>
      <c r="N64" s="32">
        <v>0</v>
      </c>
      <c r="O64" s="32">
        <v>90</v>
      </c>
      <c r="P64" s="32">
        <v>90</v>
      </c>
      <c r="Q64" s="32">
        <v>120</v>
      </c>
      <c r="R64" s="32">
        <v>44</v>
      </c>
      <c r="S64" s="42">
        <f>SUM(N64:R64)</f>
        <v>344</v>
      </c>
    </row>
    <row r="65" spans="1:20" ht="15.75" customHeight="1" thickBot="1" x14ac:dyDescent="0.3">
      <c r="A65" s="24" t="s">
        <v>60</v>
      </c>
      <c r="B65" s="10" t="s">
        <v>32</v>
      </c>
      <c r="C65" s="10"/>
      <c r="D65" s="10"/>
      <c r="E65" s="10">
        <f>COUNTIF(B45:B48,"*")</f>
        <v>4</v>
      </c>
      <c r="F65" s="10" t="s">
        <v>33</v>
      </c>
      <c r="G65" s="10"/>
      <c r="H65" s="10"/>
      <c r="I65" s="10"/>
      <c r="J65" s="10"/>
      <c r="M65" s="51" t="s">
        <v>104</v>
      </c>
      <c r="N65" s="47">
        <v>0</v>
      </c>
      <c r="O65" s="47">
        <v>66</v>
      </c>
      <c r="P65" s="47">
        <v>64</v>
      </c>
      <c r="Q65" s="47">
        <v>79</v>
      </c>
      <c r="R65" s="47">
        <v>41</v>
      </c>
      <c r="S65" s="42">
        <f t="shared" ref="S65:S66" si="8">SUM(N65:R65)</f>
        <v>250</v>
      </c>
    </row>
    <row r="66" spans="1:20" ht="15.75" customHeight="1" thickBot="1" x14ac:dyDescent="0.3">
      <c r="A66" s="24" t="s">
        <v>61</v>
      </c>
      <c r="B66" s="10" t="s">
        <v>19</v>
      </c>
      <c r="C66" s="10"/>
      <c r="D66" s="10"/>
      <c r="E66" s="10">
        <f>I49</f>
        <v>0</v>
      </c>
      <c r="F66" s="10" t="s">
        <v>18</v>
      </c>
      <c r="G66" s="10"/>
      <c r="H66" s="10"/>
      <c r="I66" s="10"/>
      <c r="J66" s="10"/>
      <c r="M66" s="51" t="s">
        <v>105</v>
      </c>
      <c r="N66" s="47">
        <v>0</v>
      </c>
      <c r="O66" s="47">
        <v>90</v>
      </c>
      <c r="P66" s="47">
        <v>219</v>
      </c>
      <c r="Q66" s="47">
        <v>256</v>
      </c>
      <c r="R66" s="47">
        <v>58</v>
      </c>
      <c r="S66" s="42">
        <f t="shared" si="8"/>
        <v>623</v>
      </c>
      <c r="T66">
        <f>SUM(S64:S66)</f>
        <v>1217</v>
      </c>
    </row>
    <row r="67" spans="1:20" ht="15.75" customHeight="1" thickBot="1" x14ac:dyDescent="0.3">
      <c r="A67" s="2" t="s">
        <v>20</v>
      </c>
      <c r="B67" s="2"/>
      <c r="C67" s="1"/>
      <c r="D67" s="1"/>
      <c r="E67" s="1"/>
      <c r="F67" s="1"/>
      <c r="G67" s="1"/>
      <c r="H67" s="1"/>
      <c r="I67" s="1"/>
      <c r="J67" s="1"/>
      <c r="M67" s="52" t="s">
        <v>92</v>
      </c>
      <c r="N67" s="47">
        <v>0</v>
      </c>
      <c r="O67" s="47">
        <f>SUM(O64:O66)</f>
        <v>246</v>
      </c>
      <c r="P67" s="47">
        <f t="shared" ref="P67:R67" si="9">SUM(P64:P66)</f>
        <v>373</v>
      </c>
      <c r="Q67" s="47">
        <f t="shared" si="9"/>
        <v>455</v>
      </c>
      <c r="R67" s="47">
        <f t="shared" si="9"/>
        <v>143</v>
      </c>
      <c r="S67" s="46">
        <f>SUM(N67:R67)</f>
        <v>1217</v>
      </c>
    </row>
    <row r="68" spans="1:20" ht="15.75" customHeight="1" x14ac:dyDescent="0.25">
      <c r="A68" t="s">
        <v>48</v>
      </c>
    </row>
    <row r="69" spans="1:20" ht="15.75" x14ac:dyDescent="0.25">
      <c r="D69" s="66" t="s">
        <v>109</v>
      </c>
      <c r="E69" s="66"/>
      <c r="F69" s="66"/>
      <c r="G69" s="66"/>
      <c r="H69" s="66"/>
      <c r="I69" s="66"/>
      <c r="J69" s="66"/>
    </row>
    <row r="70" spans="1:20" ht="15.75" x14ac:dyDescent="0.25">
      <c r="B70" s="22" t="s">
        <v>23</v>
      </c>
      <c r="G70" s="2" t="s">
        <v>21</v>
      </c>
      <c r="H70" s="2"/>
    </row>
    <row r="72" spans="1:20" ht="29.25" customHeight="1" x14ac:dyDescent="0.25">
      <c r="O72" t="s">
        <v>68</v>
      </c>
    </row>
    <row r="73" spans="1:20" ht="30" customHeight="1" x14ac:dyDescent="0.25"/>
    <row r="74" spans="1:20" ht="15.75" x14ac:dyDescent="0.25">
      <c r="B74" s="22" t="s">
        <v>46</v>
      </c>
      <c r="G74" s="2" t="s">
        <v>63</v>
      </c>
      <c r="H74" s="2"/>
    </row>
    <row r="75" spans="1:20" ht="15.75" x14ac:dyDescent="0.25">
      <c r="B75" s="22" t="s">
        <v>47</v>
      </c>
    </row>
  </sheetData>
  <mergeCells count="19">
    <mergeCell ref="D69:J69"/>
    <mergeCell ref="A50:J50"/>
    <mergeCell ref="B52:J52"/>
    <mergeCell ref="B55:J55"/>
    <mergeCell ref="B58:J58"/>
    <mergeCell ref="B61:J61"/>
    <mergeCell ref="B64:J64"/>
    <mergeCell ref="B44:J44"/>
    <mergeCell ref="A1:J1"/>
    <mergeCell ref="A2:J2"/>
    <mergeCell ref="A3:J3"/>
    <mergeCell ref="B5:J5"/>
    <mergeCell ref="A11:J11"/>
    <mergeCell ref="B13:J13"/>
    <mergeCell ref="A19:J19"/>
    <mergeCell ref="B21:J21"/>
    <mergeCell ref="A30:J30"/>
    <mergeCell ref="B32:J32"/>
    <mergeCell ref="A42:J42"/>
  </mergeCells>
  <pageMargins left="1.1417322834645669" right="0.51181102362204722" top="0.74803149606299213" bottom="0.74803149606299213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EF822-AC09-42E0-AFFE-0AA2AAE84062}">
  <dimension ref="A1:T72"/>
  <sheetViews>
    <sheetView topLeftCell="A52" zoomScale="115" zoomScaleNormal="115" workbookViewId="0">
      <selection activeCell="B61" sqref="B61:J61"/>
    </sheetView>
  </sheetViews>
  <sheetFormatPr defaultRowHeight="15" x14ac:dyDescent="0.25"/>
  <cols>
    <col min="1" max="1" width="4.7109375" customWidth="1"/>
    <col min="2" max="2" width="23.5703125" customWidth="1"/>
    <col min="3" max="3" width="6.85546875" customWidth="1"/>
    <col min="4" max="4" width="6.7109375" customWidth="1"/>
    <col min="5" max="5" width="6.28515625" customWidth="1"/>
    <col min="6" max="6" width="5.85546875" customWidth="1"/>
    <col min="7" max="7" width="6.42578125" customWidth="1"/>
    <col min="8" max="9" width="6.5703125" customWidth="1"/>
    <col min="10" max="10" width="17.7109375" customWidth="1"/>
    <col min="12" max="12" width="7.5703125" customWidth="1"/>
    <col min="13" max="13" width="13.42578125" customWidth="1"/>
    <col min="19" max="19" width="12.85546875" customWidth="1"/>
    <col min="20" max="20" width="11" customWidth="1"/>
  </cols>
  <sheetData>
    <row r="1" spans="1:18" ht="37.5" customHeight="1" x14ac:dyDescent="0.25">
      <c r="A1" s="56" t="s">
        <v>16</v>
      </c>
      <c r="B1" s="57"/>
      <c r="C1" s="57"/>
      <c r="D1" s="57"/>
      <c r="E1" s="57"/>
      <c r="F1" s="57"/>
      <c r="G1" s="57"/>
      <c r="H1" s="57"/>
      <c r="I1" s="57"/>
      <c r="J1" s="57"/>
    </row>
    <row r="2" spans="1:18" ht="46.5" customHeight="1" x14ac:dyDescent="0.25">
      <c r="A2" s="58" t="s">
        <v>110</v>
      </c>
      <c r="B2" s="58"/>
      <c r="C2" s="58"/>
      <c r="D2" s="58"/>
      <c r="E2" s="58"/>
      <c r="F2" s="58"/>
      <c r="G2" s="58"/>
      <c r="H2" s="58"/>
      <c r="I2" s="58"/>
      <c r="J2" s="58"/>
    </row>
    <row r="3" spans="1:18" ht="18" customHeight="1" x14ac:dyDescent="0.25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</row>
    <row r="4" spans="1:18" ht="29.25" customHeight="1" x14ac:dyDescent="0.25">
      <c r="A4" s="14" t="s">
        <v>40</v>
      </c>
      <c r="B4" s="14" t="s">
        <v>3</v>
      </c>
      <c r="C4" s="33" t="s">
        <v>117</v>
      </c>
      <c r="D4" s="33" t="s">
        <v>113</v>
      </c>
      <c r="E4" s="33" t="s">
        <v>114</v>
      </c>
      <c r="F4" s="34" t="s">
        <v>115</v>
      </c>
      <c r="G4" s="34" t="s">
        <v>116</v>
      </c>
      <c r="H4" s="25" t="s">
        <v>49</v>
      </c>
      <c r="I4" s="26" t="s">
        <v>50</v>
      </c>
      <c r="J4" s="16" t="s">
        <v>2</v>
      </c>
    </row>
    <row r="5" spans="1:18" ht="18" customHeight="1" x14ac:dyDescent="0.25">
      <c r="A5" s="6" t="s">
        <v>0</v>
      </c>
      <c r="B5" s="60" t="s">
        <v>1</v>
      </c>
      <c r="C5" s="61"/>
      <c r="D5" s="61"/>
      <c r="E5" s="61"/>
      <c r="F5" s="61"/>
      <c r="G5" s="61"/>
      <c r="H5" s="61"/>
      <c r="I5" s="61"/>
      <c r="J5" s="62"/>
    </row>
    <row r="6" spans="1:18" s="27" customFormat="1" ht="18" customHeight="1" x14ac:dyDescent="0.25">
      <c r="A6" s="36">
        <f>SUBTOTAL(3,$B$6:B6)</f>
        <v>1</v>
      </c>
      <c r="B6" s="13" t="s">
        <v>77</v>
      </c>
      <c r="C6" s="21">
        <v>4</v>
      </c>
      <c r="D6" s="21">
        <v>0</v>
      </c>
      <c r="E6" s="21">
        <v>0</v>
      </c>
      <c r="F6" s="21">
        <v>0</v>
      </c>
      <c r="G6" s="21">
        <v>0</v>
      </c>
      <c r="H6" s="21">
        <v>4</v>
      </c>
      <c r="I6" s="21">
        <f t="shared" ref="I6:I9" si="0">C6+D6+E6+F6+G6</f>
        <v>4</v>
      </c>
      <c r="J6" s="36" t="s">
        <v>118</v>
      </c>
    </row>
    <row r="7" spans="1:18" s="27" customFormat="1" ht="18" customHeight="1" x14ac:dyDescent="0.25">
      <c r="A7" s="36">
        <f>SUBTOTAL(3,$B$6:B7)</f>
        <v>2</v>
      </c>
      <c r="B7" s="13" t="s">
        <v>111</v>
      </c>
      <c r="C7" s="21">
        <v>3</v>
      </c>
      <c r="D7" s="21">
        <v>0</v>
      </c>
      <c r="E7" s="21">
        <v>0</v>
      </c>
      <c r="F7" s="21">
        <v>0</v>
      </c>
      <c r="G7" s="21">
        <v>3</v>
      </c>
      <c r="H7" s="21">
        <v>6</v>
      </c>
      <c r="I7" s="21">
        <f t="shared" si="0"/>
        <v>6</v>
      </c>
      <c r="J7" s="36" t="s">
        <v>119</v>
      </c>
    </row>
    <row r="8" spans="1:18" s="27" customFormat="1" ht="18" customHeight="1" x14ac:dyDescent="0.25">
      <c r="A8" s="36">
        <f>SUBTOTAL(3,$B$6:B8)</f>
        <v>3</v>
      </c>
      <c r="B8" s="13" t="s">
        <v>69</v>
      </c>
      <c r="C8" s="21">
        <v>16</v>
      </c>
      <c r="D8" s="21">
        <v>8</v>
      </c>
      <c r="E8" s="21">
        <v>8</v>
      </c>
      <c r="F8" s="21">
        <v>8</v>
      </c>
      <c r="G8" s="21">
        <v>4</v>
      </c>
      <c r="H8" s="21">
        <v>44</v>
      </c>
      <c r="I8" s="21">
        <f t="shared" si="0"/>
        <v>44</v>
      </c>
      <c r="J8" s="36" t="s">
        <v>119</v>
      </c>
    </row>
    <row r="9" spans="1:18" s="27" customFormat="1" ht="18" customHeight="1" x14ac:dyDescent="0.25">
      <c r="A9" s="36">
        <f>SUBTOTAL(3,$B$6:B9)</f>
        <v>4</v>
      </c>
      <c r="B9" s="13" t="s">
        <v>112</v>
      </c>
      <c r="C9" s="21">
        <v>4</v>
      </c>
      <c r="D9" s="21">
        <v>2</v>
      </c>
      <c r="E9" s="21">
        <v>2</v>
      </c>
      <c r="F9" s="21">
        <v>2</v>
      </c>
      <c r="G9" s="21">
        <v>0</v>
      </c>
      <c r="H9" s="21">
        <v>10</v>
      </c>
      <c r="I9" s="21">
        <f t="shared" si="0"/>
        <v>10</v>
      </c>
      <c r="J9" s="36" t="s">
        <v>120</v>
      </c>
    </row>
    <row r="10" spans="1:18" ht="18" customHeight="1" x14ac:dyDescent="0.25">
      <c r="A10" s="36"/>
      <c r="B10" s="9" t="s">
        <v>15</v>
      </c>
      <c r="C10" s="14">
        <f>SUM(C6:C9)</f>
        <v>27</v>
      </c>
      <c r="D10" s="14">
        <f>SUM(D6:D9)</f>
        <v>10</v>
      </c>
      <c r="E10" s="14">
        <f>SUM(E6:E9)</f>
        <v>10</v>
      </c>
      <c r="F10" s="14">
        <f>SUM(F6:F9)</f>
        <v>10</v>
      </c>
      <c r="G10" s="14">
        <f>SUM(G6:G9)</f>
        <v>7</v>
      </c>
      <c r="H10" s="14">
        <f>SUM(C10:G10)</f>
        <v>64</v>
      </c>
      <c r="I10" s="14">
        <f>SUM(I6:I9)</f>
        <v>64</v>
      </c>
      <c r="J10" s="11"/>
    </row>
    <row r="11" spans="1:18" ht="42" customHeight="1" x14ac:dyDescent="0.25">
      <c r="A11" s="63" t="s">
        <v>22</v>
      </c>
      <c r="B11" s="64"/>
      <c r="C11" s="64"/>
      <c r="D11" s="64"/>
      <c r="E11" s="64"/>
      <c r="F11" s="64"/>
      <c r="G11" s="64"/>
      <c r="H11" s="64"/>
      <c r="I11" s="64"/>
      <c r="J11" s="64"/>
    </row>
    <row r="12" spans="1:18" ht="36" customHeight="1" thickBot="1" x14ac:dyDescent="0.3">
      <c r="A12" s="14" t="s">
        <v>40</v>
      </c>
      <c r="B12" s="14" t="s">
        <v>3</v>
      </c>
      <c r="C12" s="33" t="s">
        <v>117</v>
      </c>
      <c r="D12" s="33" t="s">
        <v>113</v>
      </c>
      <c r="E12" s="33" t="s">
        <v>114</v>
      </c>
      <c r="F12" s="34" t="s">
        <v>115</v>
      </c>
      <c r="G12" s="34" t="s">
        <v>116</v>
      </c>
      <c r="H12" s="25" t="s">
        <v>49</v>
      </c>
      <c r="I12" s="26" t="s">
        <v>50</v>
      </c>
      <c r="J12" s="16" t="s">
        <v>2</v>
      </c>
    </row>
    <row r="13" spans="1:18" ht="18" customHeight="1" thickBot="1" x14ac:dyDescent="0.3">
      <c r="A13" s="6" t="s">
        <v>4</v>
      </c>
      <c r="B13" s="53" t="s">
        <v>5</v>
      </c>
      <c r="C13" s="54"/>
      <c r="D13" s="54"/>
      <c r="E13" s="54"/>
      <c r="F13" s="54"/>
      <c r="G13" s="54"/>
      <c r="H13" s="54"/>
      <c r="I13" s="54"/>
      <c r="J13" s="55"/>
      <c r="M13" s="29">
        <v>30</v>
      </c>
      <c r="N13" s="30">
        <v>93</v>
      </c>
      <c r="O13" s="30">
        <v>102</v>
      </c>
      <c r="P13" s="30">
        <v>59</v>
      </c>
      <c r="Q13" s="30">
        <v>35</v>
      </c>
      <c r="R13" s="20"/>
    </row>
    <row r="14" spans="1:18" ht="17.25" customHeight="1" thickBot="1" x14ac:dyDescent="0.3">
      <c r="A14" s="4">
        <v>1</v>
      </c>
      <c r="B14" s="13" t="s">
        <v>121</v>
      </c>
      <c r="C14" s="15">
        <v>15</v>
      </c>
      <c r="D14" s="15">
        <v>0</v>
      </c>
      <c r="E14" s="15">
        <v>0</v>
      </c>
      <c r="F14" s="15">
        <v>0</v>
      </c>
      <c r="G14" s="15">
        <v>0</v>
      </c>
      <c r="H14" s="15">
        <v>15</v>
      </c>
      <c r="I14" s="5">
        <f t="shared" ref="I14" si="1">C14+D14+E14+F14+G14</f>
        <v>15</v>
      </c>
      <c r="J14" s="5" t="s">
        <v>64</v>
      </c>
      <c r="M14" s="31">
        <v>21</v>
      </c>
      <c r="N14" s="32">
        <v>66</v>
      </c>
      <c r="O14" s="32">
        <v>86</v>
      </c>
      <c r="P14" s="32">
        <v>301</v>
      </c>
      <c r="Q14" s="32">
        <v>35</v>
      </c>
      <c r="R14" s="20"/>
    </row>
    <row r="15" spans="1:18" ht="17.25" customHeight="1" x14ac:dyDescent="0.25">
      <c r="A15" s="3"/>
      <c r="B15" s="7" t="s">
        <v>15</v>
      </c>
      <c r="C15" s="14">
        <f>SUM(C14:C14)</f>
        <v>15</v>
      </c>
      <c r="D15" s="14">
        <f>SUM(D14:D14)</f>
        <v>0</v>
      </c>
      <c r="E15" s="14">
        <f>SUM(E14:E14)</f>
        <v>0</v>
      </c>
      <c r="F15" s="14">
        <f>SUM(F14:F14)</f>
        <v>0</v>
      </c>
      <c r="G15" s="14">
        <f>SUM(G14:G14)</f>
        <v>0</v>
      </c>
      <c r="H15" s="14">
        <f>SUM(C15:G15)</f>
        <v>15</v>
      </c>
      <c r="I15" s="14">
        <f>SUM(I14:I14)</f>
        <v>15</v>
      </c>
      <c r="J15" s="3"/>
    </row>
    <row r="16" spans="1:18" ht="45" customHeight="1" x14ac:dyDescent="0.25">
      <c r="A16" s="63" t="s">
        <v>22</v>
      </c>
      <c r="B16" s="63"/>
      <c r="C16" s="63"/>
      <c r="D16" s="63"/>
      <c r="E16" s="63"/>
      <c r="F16" s="63"/>
      <c r="G16" s="63"/>
      <c r="H16" s="63"/>
      <c r="I16" s="63"/>
      <c r="J16" s="63"/>
    </row>
    <row r="17" spans="1:10" ht="34.5" customHeight="1" x14ac:dyDescent="0.25">
      <c r="A17" s="14" t="s">
        <v>40</v>
      </c>
      <c r="B17" s="14" t="s">
        <v>3</v>
      </c>
      <c r="C17" s="33" t="s">
        <v>117</v>
      </c>
      <c r="D17" s="33" t="s">
        <v>113</v>
      </c>
      <c r="E17" s="33" t="s">
        <v>114</v>
      </c>
      <c r="F17" s="34" t="s">
        <v>115</v>
      </c>
      <c r="G17" s="34" t="s">
        <v>116</v>
      </c>
      <c r="H17" s="25" t="s">
        <v>49</v>
      </c>
      <c r="I17" s="26" t="s">
        <v>50</v>
      </c>
      <c r="J17" s="16" t="s">
        <v>2</v>
      </c>
    </row>
    <row r="18" spans="1:10" ht="18" customHeight="1" x14ac:dyDescent="0.25">
      <c r="A18" s="6" t="s">
        <v>8</v>
      </c>
      <c r="B18" s="53" t="s">
        <v>67</v>
      </c>
      <c r="C18" s="54"/>
      <c r="D18" s="54"/>
      <c r="E18" s="54"/>
      <c r="F18" s="54"/>
      <c r="G18" s="54"/>
      <c r="H18" s="54"/>
      <c r="I18" s="54"/>
      <c r="J18" s="55"/>
    </row>
    <row r="19" spans="1:10" ht="17.25" customHeight="1" x14ac:dyDescent="0.25">
      <c r="A19" s="5">
        <v>1</v>
      </c>
      <c r="B19" s="8" t="s">
        <v>11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5">
        <f t="shared" ref="I19:I25" si="2">C19+D19+E19+F19+G19</f>
        <v>0</v>
      </c>
      <c r="J19" s="5"/>
    </row>
    <row r="20" spans="1:10" ht="17.25" customHeight="1" x14ac:dyDescent="0.25">
      <c r="A20" s="15">
        <v>2</v>
      </c>
      <c r="B20" s="8" t="s">
        <v>79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5">
        <f t="shared" si="2"/>
        <v>0</v>
      </c>
      <c r="J20" s="5"/>
    </row>
    <row r="21" spans="1:10" ht="17.25" customHeight="1" x14ac:dyDescent="0.25">
      <c r="A21" s="5">
        <v>3</v>
      </c>
      <c r="B21" s="8" t="s">
        <v>10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5">
        <f t="shared" si="2"/>
        <v>0</v>
      </c>
      <c r="J21" s="5"/>
    </row>
    <row r="22" spans="1:10" ht="17.25" customHeight="1" x14ac:dyDescent="0.25">
      <c r="A22" s="15">
        <v>4</v>
      </c>
      <c r="B22" s="8" t="s">
        <v>12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5">
        <f t="shared" si="2"/>
        <v>0</v>
      </c>
      <c r="J22" s="5"/>
    </row>
    <row r="23" spans="1:10" ht="17.25" customHeight="1" x14ac:dyDescent="0.25">
      <c r="A23" s="5">
        <v>5</v>
      </c>
      <c r="B23" s="8" t="s">
        <v>14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5">
        <f t="shared" si="2"/>
        <v>0</v>
      </c>
      <c r="J23" s="5"/>
    </row>
    <row r="24" spans="1:10" ht="17.25" customHeight="1" x14ac:dyDescent="0.25">
      <c r="A24" s="15">
        <v>6</v>
      </c>
      <c r="B24" s="8" t="s">
        <v>9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5">
        <f t="shared" si="2"/>
        <v>0</v>
      </c>
      <c r="J24" s="5"/>
    </row>
    <row r="25" spans="1:10" ht="17.25" customHeight="1" x14ac:dyDescent="0.25">
      <c r="A25" s="5">
        <v>7</v>
      </c>
      <c r="B25" s="8" t="s">
        <v>13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5">
        <f t="shared" si="2"/>
        <v>0</v>
      </c>
      <c r="J25" s="5"/>
    </row>
    <row r="26" spans="1:10" ht="17.25" customHeight="1" x14ac:dyDescent="0.25">
      <c r="A26" s="3"/>
      <c r="B26" s="7" t="s">
        <v>15</v>
      </c>
      <c r="C26" s="14">
        <f t="shared" ref="C26:I26" si="3">SUM(C19:C25)</f>
        <v>0</v>
      </c>
      <c r="D26" s="14">
        <f t="shared" si="3"/>
        <v>0</v>
      </c>
      <c r="E26" s="14">
        <f t="shared" si="3"/>
        <v>0</v>
      </c>
      <c r="F26" s="14">
        <f t="shared" si="3"/>
        <v>0</v>
      </c>
      <c r="G26" s="14">
        <f t="shared" si="3"/>
        <v>0</v>
      </c>
      <c r="H26" s="14">
        <f>SUM(C26:G26)</f>
        <v>0</v>
      </c>
      <c r="I26" s="14">
        <f t="shared" si="3"/>
        <v>0</v>
      </c>
      <c r="J26" s="3"/>
    </row>
    <row r="27" spans="1:10" ht="45" customHeight="1" x14ac:dyDescent="0.25">
      <c r="A27" s="63" t="s">
        <v>22</v>
      </c>
      <c r="B27" s="63"/>
      <c r="C27" s="63"/>
      <c r="D27" s="63"/>
      <c r="E27" s="63"/>
      <c r="F27" s="63"/>
      <c r="G27" s="63"/>
      <c r="H27" s="63"/>
      <c r="I27" s="63"/>
      <c r="J27" s="63"/>
    </row>
    <row r="28" spans="1:10" ht="30" customHeight="1" x14ac:dyDescent="0.25">
      <c r="A28" s="14" t="s">
        <v>40</v>
      </c>
      <c r="B28" s="14" t="s">
        <v>3</v>
      </c>
      <c r="C28" s="33" t="s">
        <v>117</v>
      </c>
      <c r="D28" s="33" t="s">
        <v>113</v>
      </c>
      <c r="E28" s="33" t="s">
        <v>114</v>
      </c>
      <c r="F28" s="34" t="s">
        <v>115</v>
      </c>
      <c r="G28" s="34" t="s">
        <v>116</v>
      </c>
      <c r="H28" s="25" t="s">
        <v>49</v>
      </c>
      <c r="I28" s="26" t="s">
        <v>50</v>
      </c>
      <c r="J28" s="16" t="s">
        <v>2</v>
      </c>
    </row>
    <row r="29" spans="1:10" ht="21" customHeight="1" x14ac:dyDescent="0.25">
      <c r="A29" s="6" t="s">
        <v>25</v>
      </c>
      <c r="B29" s="53" t="s">
        <v>24</v>
      </c>
      <c r="C29" s="54"/>
      <c r="D29" s="54"/>
      <c r="E29" s="54"/>
      <c r="F29" s="54"/>
      <c r="G29" s="54"/>
      <c r="H29" s="54"/>
      <c r="I29" s="54"/>
      <c r="J29" s="55"/>
    </row>
    <row r="30" spans="1:10" ht="18.75" customHeight="1" x14ac:dyDescent="0.25">
      <c r="A30" s="4">
        <v>1</v>
      </c>
      <c r="B30" s="8" t="s">
        <v>28</v>
      </c>
      <c r="C30" s="15">
        <v>0</v>
      </c>
      <c r="D30" s="15">
        <v>4</v>
      </c>
      <c r="E30" s="15">
        <v>4</v>
      </c>
      <c r="F30" s="15">
        <v>0</v>
      </c>
      <c r="G30" s="15">
        <v>0</v>
      </c>
      <c r="H30" s="15">
        <v>14</v>
      </c>
      <c r="I30" s="5">
        <f t="shared" ref="I30:I37" si="4">C30+D30+E30+F30+G30</f>
        <v>8</v>
      </c>
      <c r="J30" s="17" t="s">
        <v>51</v>
      </c>
    </row>
    <row r="31" spans="1:10" ht="18.75" customHeight="1" x14ac:dyDescent="0.25">
      <c r="A31" s="4">
        <v>2</v>
      </c>
      <c r="B31" s="8" t="s">
        <v>80</v>
      </c>
      <c r="C31" s="15">
        <v>0</v>
      </c>
      <c r="D31" s="15">
        <v>2</v>
      </c>
      <c r="E31" s="15">
        <v>2</v>
      </c>
      <c r="F31" s="15">
        <v>2</v>
      </c>
      <c r="G31" s="15">
        <v>0</v>
      </c>
      <c r="H31" s="15">
        <v>6</v>
      </c>
      <c r="I31" s="5">
        <f t="shared" si="4"/>
        <v>6</v>
      </c>
      <c r="J31" s="5" t="s">
        <v>71</v>
      </c>
    </row>
    <row r="32" spans="1:10" ht="18.75" customHeight="1" x14ac:dyDescent="0.25">
      <c r="A32" s="4">
        <v>3</v>
      </c>
      <c r="B32" s="8" t="s">
        <v>30</v>
      </c>
      <c r="C32" s="15">
        <v>0</v>
      </c>
      <c r="D32" s="15">
        <v>0</v>
      </c>
      <c r="E32" s="15">
        <v>2</v>
      </c>
      <c r="F32" s="15">
        <v>0</v>
      </c>
      <c r="G32" s="15">
        <v>0</v>
      </c>
      <c r="H32" s="15">
        <v>2</v>
      </c>
      <c r="I32" s="5">
        <f t="shared" si="4"/>
        <v>2</v>
      </c>
      <c r="J32" s="5" t="s">
        <v>83</v>
      </c>
    </row>
    <row r="33" spans="1:19" ht="18.75" customHeight="1" x14ac:dyDescent="0.25">
      <c r="A33" s="4">
        <v>4</v>
      </c>
      <c r="B33" s="8" t="s">
        <v>26</v>
      </c>
      <c r="C33" s="15">
        <v>3</v>
      </c>
      <c r="D33" s="15">
        <v>0</v>
      </c>
      <c r="E33" s="15">
        <v>0</v>
      </c>
      <c r="F33" s="15">
        <v>0</v>
      </c>
      <c r="G33" s="15">
        <v>0</v>
      </c>
      <c r="H33" s="15">
        <v>12</v>
      </c>
      <c r="I33" s="5">
        <f t="shared" si="4"/>
        <v>3</v>
      </c>
      <c r="J33" s="17" t="s">
        <v>51</v>
      </c>
    </row>
    <row r="34" spans="1:19" s="20" customFormat="1" ht="18.75" customHeight="1" x14ac:dyDescent="0.25">
      <c r="A34" s="4">
        <v>5</v>
      </c>
      <c r="B34" s="8" t="s">
        <v>27</v>
      </c>
      <c r="C34" s="19">
        <v>1</v>
      </c>
      <c r="D34" s="19">
        <v>1</v>
      </c>
      <c r="E34" s="19">
        <v>2</v>
      </c>
      <c r="F34" s="19">
        <v>2</v>
      </c>
      <c r="G34" s="19">
        <v>0</v>
      </c>
      <c r="H34" s="19">
        <v>6</v>
      </c>
      <c r="I34" s="18">
        <f t="shared" si="4"/>
        <v>6</v>
      </c>
      <c r="J34" s="5" t="s">
        <v>66</v>
      </c>
    </row>
    <row r="35" spans="1:19" s="20" customFormat="1" ht="18.75" customHeight="1" thickBot="1" x14ac:dyDescent="0.3">
      <c r="A35" s="4">
        <v>6</v>
      </c>
      <c r="B35" s="8" t="s">
        <v>31</v>
      </c>
      <c r="C35" s="19">
        <v>3</v>
      </c>
      <c r="D35" s="19">
        <v>0</v>
      </c>
      <c r="E35" s="19">
        <v>0</v>
      </c>
      <c r="F35" s="19">
        <v>0</v>
      </c>
      <c r="G35" s="19">
        <v>0</v>
      </c>
      <c r="H35" s="19">
        <v>3</v>
      </c>
      <c r="I35" s="18">
        <f t="shared" si="4"/>
        <v>3</v>
      </c>
      <c r="J35" s="5" t="s">
        <v>66</v>
      </c>
      <c r="M35" s="31"/>
      <c r="N35" s="32"/>
      <c r="O35" s="32"/>
      <c r="P35" s="32"/>
      <c r="Q35" s="32"/>
    </row>
    <row r="36" spans="1:19" s="20" customFormat="1" ht="18.75" customHeight="1" thickBot="1" x14ac:dyDescent="0.3">
      <c r="A36" s="4">
        <v>7</v>
      </c>
      <c r="B36" s="8" t="s">
        <v>65</v>
      </c>
      <c r="C36" s="19">
        <v>3</v>
      </c>
      <c r="D36" s="19">
        <v>3</v>
      </c>
      <c r="E36" s="19">
        <v>3</v>
      </c>
      <c r="F36" s="19">
        <v>3</v>
      </c>
      <c r="G36" s="19">
        <v>0</v>
      </c>
      <c r="H36" s="18">
        <v>12</v>
      </c>
      <c r="I36" s="18">
        <f t="shared" si="4"/>
        <v>12</v>
      </c>
      <c r="J36" s="5" t="s">
        <v>66</v>
      </c>
      <c r="M36" s="31"/>
      <c r="N36" s="32"/>
      <c r="O36" s="32"/>
      <c r="P36" s="32"/>
      <c r="Q36" s="32"/>
    </row>
    <row r="37" spans="1:19" s="20" customFormat="1" ht="18.75" customHeight="1" thickBot="1" x14ac:dyDescent="0.3">
      <c r="A37" s="4">
        <v>8</v>
      </c>
      <c r="B37" s="8" t="s">
        <v>29</v>
      </c>
      <c r="C37" s="19">
        <v>2</v>
      </c>
      <c r="D37" s="19">
        <v>0</v>
      </c>
      <c r="E37" s="19">
        <v>0</v>
      </c>
      <c r="F37" s="19">
        <v>0</v>
      </c>
      <c r="G37" s="19">
        <v>0</v>
      </c>
      <c r="H37" s="19">
        <v>3</v>
      </c>
      <c r="I37" s="18">
        <f t="shared" si="4"/>
        <v>2</v>
      </c>
      <c r="J37" s="5" t="s">
        <v>66</v>
      </c>
      <c r="M37" s="31"/>
      <c r="N37" s="32"/>
      <c r="O37" s="32"/>
      <c r="P37" s="32"/>
      <c r="Q37" s="32"/>
    </row>
    <row r="38" spans="1:19" ht="18.75" customHeight="1" x14ac:dyDescent="0.25">
      <c r="A38" s="5"/>
      <c r="B38" s="9" t="s">
        <v>15</v>
      </c>
      <c r="C38" s="16">
        <f t="shared" ref="C38:I38" si="5">SUM(C30:C37)</f>
        <v>12</v>
      </c>
      <c r="D38" s="16">
        <f t="shared" si="5"/>
        <v>10</v>
      </c>
      <c r="E38" s="16">
        <f t="shared" si="5"/>
        <v>13</v>
      </c>
      <c r="F38" s="16">
        <f t="shared" si="5"/>
        <v>7</v>
      </c>
      <c r="G38" s="16">
        <f t="shared" si="5"/>
        <v>0</v>
      </c>
      <c r="H38" s="16">
        <f>SUM(C38:G38)</f>
        <v>42</v>
      </c>
      <c r="I38" s="16">
        <f t="shared" si="5"/>
        <v>42</v>
      </c>
      <c r="J38" s="5"/>
      <c r="M38" s="37"/>
      <c r="N38" s="37"/>
      <c r="O38" s="37"/>
      <c r="P38" s="37"/>
      <c r="Q38" s="37"/>
      <c r="R38" s="37"/>
    </row>
    <row r="39" spans="1:19" ht="47.25" customHeight="1" thickBot="1" x14ac:dyDescent="0.3">
      <c r="A39" s="65" t="s">
        <v>22</v>
      </c>
      <c r="B39" s="65"/>
      <c r="C39" s="65"/>
      <c r="D39" s="65"/>
      <c r="E39" s="65"/>
      <c r="F39" s="65"/>
      <c r="G39" s="65"/>
      <c r="H39" s="65"/>
      <c r="I39" s="65"/>
      <c r="J39" s="65"/>
    </row>
    <row r="40" spans="1:19" ht="25.5" customHeight="1" thickBot="1" x14ac:dyDescent="0.3">
      <c r="A40" s="14" t="s">
        <v>40</v>
      </c>
      <c r="B40" s="14" t="s">
        <v>3</v>
      </c>
      <c r="C40" s="33" t="s">
        <v>117</v>
      </c>
      <c r="D40" s="33" t="s">
        <v>113</v>
      </c>
      <c r="E40" s="33" t="s">
        <v>114</v>
      </c>
      <c r="F40" s="34" t="s">
        <v>115</v>
      </c>
      <c r="G40" s="34" t="s">
        <v>116</v>
      </c>
      <c r="H40" s="25" t="s">
        <v>49</v>
      </c>
      <c r="I40" s="26" t="s">
        <v>50</v>
      </c>
      <c r="J40" s="16" t="s">
        <v>2</v>
      </c>
      <c r="M40" s="38" t="s">
        <v>85</v>
      </c>
      <c r="N40" s="39" t="s">
        <v>86</v>
      </c>
      <c r="O40" s="39" t="s">
        <v>81</v>
      </c>
      <c r="P40" s="39" t="s">
        <v>87</v>
      </c>
      <c r="Q40" s="39" t="s">
        <v>88</v>
      </c>
      <c r="R40" s="39" t="s">
        <v>82</v>
      </c>
      <c r="S40" s="40" t="s">
        <v>2</v>
      </c>
    </row>
    <row r="41" spans="1:19" ht="17.25" customHeight="1" thickBot="1" x14ac:dyDescent="0.3">
      <c r="A41" s="6" t="s">
        <v>106</v>
      </c>
      <c r="B41" s="53" t="s">
        <v>34</v>
      </c>
      <c r="C41" s="54"/>
      <c r="D41" s="54"/>
      <c r="E41" s="54"/>
      <c r="F41" s="54"/>
      <c r="G41" s="54"/>
      <c r="H41" s="54"/>
      <c r="I41" s="54"/>
      <c r="J41" s="55"/>
      <c r="M41" s="41" t="s">
        <v>89</v>
      </c>
      <c r="N41" s="32">
        <v>0</v>
      </c>
      <c r="O41" s="32">
        <v>0</v>
      </c>
      <c r="P41" s="32">
        <v>63</v>
      </c>
      <c r="Q41" s="32">
        <v>51</v>
      </c>
      <c r="R41" s="32">
        <v>53</v>
      </c>
      <c r="S41" s="42"/>
    </row>
    <row r="42" spans="1:19" ht="16.5" customHeight="1" thickBot="1" x14ac:dyDescent="0.3">
      <c r="A42" s="5">
        <v>1</v>
      </c>
      <c r="B42" s="8" t="s">
        <v>36</v>
      </c>
      <c r="C42" s="15">
        <v>0</v>
      </c>
      <c r="D42" s="15">
        <v>0</v>
      </c>
      <c r="E42" s="15">
        <v>3</v>
      </c>
      <c r="F42" s="15">
        <v>0</v>
      </c>
      <c r="G42" s="15">
        <v>0</v>
      </c>
      <c r="H42" s="15">
        <v>3</v>
      </c>
      <c r="I42" s="5">
        <f>C42+D42+E42+F42+G42</f>
        <v>3</v>
      </c>
      <c r="J42" s="35" t="s">
        <v>122</v>
      </c>
      <c r="M42" s="41" t="s">
        <v>123</v>
      </c>
      <c r="N42" s="32">
        <v>20</v>
      </c>
      <c r="O42" s="32">
        <v>0</v>
      </c>
      <c r="P42" s="32">
        <v>15</v>
      </c>
      <c r="Q42" s="32">
        <v>64</v>
      </c>
      <c r="R42" s="32">
        <v>42</v>
      </c>
      <c r="S42" s="42"/>
    </row>
    <row r="43" spans="1:19" ht="16.5" customHeight="1" thickBot="1" x14ac:dyDescent="0.3">
      <c r="A43" s="4">
        <v>2</v>
      </c>
      <c r="B43" s="8" t="s">
        <v>35</v>
      </c>
      <c r="C43" s="15">
        <v>0</v>
      </c>
      <c r="D43" s="15">
        <v>5</v>
      </c>
      <c r="E43" s="15">
        <v>0</v>
      </c>
      <c r="F43" s="15">
        <v>0</v>
      </c>
      <c r="G43" s="15">
        <v>0</v>
      </c>
      <c r="H43" s="15">
        <v>5</v>
      </c>
      <c r="I43" s="5">
        <f t="shared" ref="I43:I45" si="6">C43+D43+E43+F43+G43</f>
        <v>5</v>
      </c>
      <c r="J43" s="35" t="s">
        <v>122</v>
      </c>
      <c r="M43" s="41"/>
      <c r="N43" s="32">
        <v>0</v>
      </c>
      <c r="O43" s="32">
        <v>0</v>
      </c>
      <c r="P43" s="32">
        <v>0</v>
      </c>
      <c r="Q43" s="32">
        <v>0</v>
      </c>
      <c r="R43" s="32"/>
      <c r="S43" s="42"/>
    </row>
    <row r="44" spans="1:19" ht="16.5" customHeight="1" thickBot="1" x14ac:dyDescent="0.3">
      <c r="A44" s="5">
        <v>3</v>
      </c>
      <c r="B44" s="8" t="s">
        <v>38</v>
      </c>
      <c r="C44" s="15">
        <v>0</v>
      </c>
      <c r="D44" s="15">
        <v>6</v>
      </c>
      <c r="E44" s="15">
        <v>0</v>
      </c>
      <c r="F44" s="15">
        <v>0</v>
      </c>
      <c r="G44" s="15">
        <v>0</v>
      </c>
      <c r="H44" s="15">
        <v>6</v>
      </c>
      <c r="I44" s="5">
        <f t="shared" si="6"/>
        <v>6</v>
      </c>
      <c r="J44" s="17" t="s">
        <v>51</v>
      </c>
      <c r="M44" s="43" t="s">
        <v>92</v>
      </c>
      <c r="N44" s="44">
        <f t="shared" ref="N44" si="7">SUM(N41:N43)</f>
        <v>20</v>
      </c>
      <c r="O44" s="44">
        <f t="shared" ref="O44" si="8">SUM(O41:O43)</f>
        <v>0</v>
      </c>
      <c r="P44" s="44">
        <f t="shared" ref="P44" si="9">SUM(P41:P43)</f>
        <v>78</v>
      </c>
      <c r="Q44" s="44">
        <f>SUM(Q41:Q43)</f>
        <v>115</v>
      </c>
      <c r="R44" s="44">
        <f>SUM(R41:R43)</f>
        <v>95</v>
      </c>
      <c r="S44" s="42">
        <f>SUM(N44:R44)</f>
        <v>308</v>
      </c>
    </row>
    <row r="45" spans="1:19" ht="16.5" customHeight="1" x14ac:dyDescent="0.25">
      <c r="A45" s="4">
        <v>4</v>
      </c>
      <c r="B45" s="8" t="s">
        <v>37</v>
      </c>
      <c r="C45" s="15">
        <v>6</v>
      </c>
      <c r="D45" s="15">
        <v>0</v>
      </c>
      <c r="E45" s="15">
        <v>0</v>
      </c>
      <c r="F45" s="15">
        <v>0</v>
      </c>
      <c r="G45" s="15">
        <v>0</v>
      </c>
      <c r="H45" s="15">
        <v>6</v>
      </c>
      <c r="I45" s="5">
        <f t="shared" si="6"/>
        <v>6</v>
      </c>
      <c r="J45" s="17" t="s">
        <v>51</v>
      </c>
    </row>
    <row r="46" spans="1:19" ht="16.5" customHeight="1" thickBot="1" x14ac:dyDescent="0.3">
      <c r="A46" s="5"/>
      <c r="B46" s="9" t="s">
        <v>15</v>
      </c>
      <c r="C46" s="16">
        <f t="shared" ref="C46:I46" si="10">SUM(C42:C45)</f>
        <v>6</v>
      </c>
      <c r="D46" s="16">
        <f t="shared" si="10"/>
        <v>11</v>
      </c>
      <c r="E46" s="16">
        <f t="shared" si="10"/>
        <v>3</v>
      </c>
      <c r="F46" s="16">
        <f t="shared" si="10"/>
        <v>0</v>
      </c>
      <c r="G46" s="16">
        <f t="shared" si="10"/>
        <v>0</v>
      </c>
      <c r="H46" s="28">
        <f t="shared" si="10"/>
        <v>20</v>
      </c>
      <c r="I46" s="28">
        <f t="shared" si="10"/>
        <v>20</v>
      </c>
      <c r="J46" s="5"/>
      <c r="M46" s="41" t="s">
        <v>93</v>
      </c>
      <c r="N46" s="32">
        <v>33</v>
      </c>
      <c r="O46" s="32">
        <v>75</v>
      </c>
      <c r="P46" s="32">
        <v>53</v>
      </c>
      <c r="Q46" s="32">
        <v>126</v>
      </c>
      <c r="R46" s="32">
        <v>27</v>
      </c>
      <c r="S46" s="42"/>
    </row>
    <row r="47" spans="1:19" ht="45" customHeight="1" thickBot="1" x14ac:dyDescent="0.3">
      <c r="A47" s="65" t="s">
        <v>22</v>
      </c>
      <c r="B47" s="65"/>
      <c r="C47" s="65"/>
      <c r="D47" s="65"/>
      <c r="E47" s="65"/>
      <c r="F47" s="65"/>
      <c r="G47" s="65"/>
      <c r="H47" s="65"/>
      <c r="I47" s="65"/>
      <c r="J47" s="65"/>
      <c r="M47" s="41" t="s">
        <v>94</v>
      </c>
      <c r="N47" s="32">
        <v>21</v>
      </c>
      <c r="O47" s="32">
        <v>66</v>
      </c>
      <c r="P47" s="32">
        <v>86</v>
      </c>
      <c r="Q47" s="32">
        <v>301</v>
      </c>
      <c r="R47" s="32">
        <v>35</v>
      </c>
      <c r="S47" s="42"/>
    </row>
    <row r="48" spans="1:19" ht="15.75" customHeight="1" thickBot="1" x14ac:dyDescent="0.3">
      <c r="A48" s="2" t="s">
        <v>17</v>
      </c>
      <c r="B48" s="2"/>
      <c r="C48" s="2"/>
      <c r="D48" s="2"/>
      <c r="E48" s="2"/>
      <c r="F48" s="2"/>
      <c r="G48" s="2"/>
      <c r="H48" s="2"/>
      <c r="I48" s="2"/>
      <c r="J48" s="2"/>
      <c r="M48" s="41" t="s">
        <v>95</v>
      </c>
      <c r="N48" s="32">
        <v>0</v>
      </c>
      <c r="O48" s="32">
        <v>45</v>
      </c>
      <c r="P48" s="32">
        <v>148</v>
      </c>
      <c r="Q48" s="32">
        <v>408</v>
      </c>
      <c r="R48" s="45">
        <v>49</v>
      </c>
      <c r="S48" s="46"/>
    </row>
    <row r="49" spans="1:20" s="12" customFormat="1" ht="15.75" customHeight="1" thickBot="1" x14ac:dyDescent="0.3">
      <c r="A49" s="23" t="s">
        <v>41</v>
      </c>
      <c r="B49" s="67" t="s">
        <v>1</v>
      </c>
      <c r="C49" s="67"/>
      <c r="D49" s="67"/>
      <c r="E49" s="67"/>
      <c r="F49" s="67"/>
      <c r="G49" s="67"/>
      <c r="H49" s="67"/>
      <c r="I49" s="67"/>
      <c r="J49" s="67"/>
      <c r="M49" s="43" t="s">
        <v>92</v>
      </c>
      <c r="N49" s="44">
        <v>54</v>
      </c>
      <c r="O49" s="44">
        <v>186</v>
      </c>
      <c r="P49" s="44">
        <v>287</v>
      </c>
      <c r="Q49" s="44">
        <v>835</v>
      </c>
      <c r="R49" s="44">
        <v>111</v>
      </c>
      <c r="S49" s="42">
        <v>1473</v>
      </c>
    </row>
    <row r="50" spans="1:20" ht="15.75" customHeight="1" x14ac:dyDescent="0.25">
      <c r="A50" s="24" t="s">
        <v>52</v>
      </c>
      <c r="B50" s="10" t="s">
        <v>32</v>
      </c>
      <c r="C50" s="10"/>
      <c r="D50" s="10"/>
      <c r="E50" s="10">
        <f>COUNTIF($B$6:B9,"*")</f>
        <v>4</v>
      </c>
      <c r="F50" s="10" t="s">
        <v>33</v>
      </c>
      <c r="G50" s="10"/>
      <c r="H50" s="10"/>
      <c r="I50" s="10"/>
      <c r="J50" s="10"/>
    </row>
    <row r="51" spans="1:20" ht="15.75" customHeight="1" thickBot="1" x14ac:dyDescent="0.3">
      <c r="A51" s="24" t="s">
        <v>53</v>
      </c>
      <c r="B51" s="10" t="s">
        <v>19</v>
      </c>
      <c r="C51" s="10"/>
      <c r="D51" s="10"/>
      <c r="E51" s="10">
        <f>I10</f>
        <v>64</v>
      </c>
      <c r="F51" s="10" t="s">
        <v>18</v>
      </c>
      <c r="G51" s="10"/>
      <c r="H51" s="10"/>
      <c r="I51" s="10"/>
      <c r="J51" s="10"/>
    </row>
    <row r="52" spans="1:20" s="12" customFormat="1" ht="15.75" customHeight="1" thickBot="1" x14ac:dyDescent="0.3">
      <c r="A52" s="23" t="s">
        <v>42</v>
      </c>
      <c r="B52" s="68" t="s">
        <v>5</v>
      </c>
      <c r="C52" s="68"/>
      <c r="D52" s="68"/>
      <c r="E52" s="68"/>
      <c r="F52" s="68"/>
      <c r="G52" s="68"/>
      <c r="H52" s="68"/>
      <c r="I52" s="68"/>
      <c r="J52" s="68"/>
      <c r="M52" s="38" t="s">
        <v>85</v>
      </c>
      <c r="N52" s="39" t="s">
        <v>86</v>
      </c>
      <c r="O52" s="39" t="s">
        <v>81</v>
      </c>
      <c r="P52" s="39" t="s">
        <v>87</v>
      </c>
      <c r="Q52" s="39" t="s">
        <v>88</v>
      </c>
      <c r="R52" s="39" t="s">
        <v>82</v>
      </c>
      <c r="S52" s="40" t="s">
        <v>96</v>
      </c>
    </row>
    <row r="53" spans="1:20" ht="15.75" customHeight="1" thickBot="1" x14ac:dyDescent="0.3">
      <c r="A53" s="24" t="s">
        <v>54</v>
      </c>
      <c r="B53" s="10" t="s">
        <v>32</v>
      </c>
      <c r="C53" s="10"/>
      <c r="D53" s="10"/>
      <c r="E53" s="10">
        <f>COUNTIF($B$14:B14,"*")</f>
        <v>1</v>
      </c>
      <c r="F53" s="10" t="s">
        <v>33</v>
      </c>
      <c r="G53" s="10"/>
      <c r="H53" s="10"/>
      <c r="I53" s="10"/>
      <c r="J53" s="10"/>
      <c r="M53" s="41" t="s">
        <v>97</v>
      </c>
      <c r="N53" s="32">
        <v>0</v>
      </c>
      <c r="O53" s="32">
        <v>0</v>
      </c>
      <c r="P53" s="32">
        <v>0</v>
      </c>
      <c r="Q53" s="32">
        <v>0</v>
      </c>
      <c r="R53" s="32">
        <v>0</v>
      </c>
      <c r="S53" s="42">
        <v>0</v>
      </c>
    </row>
    <row r="54" spans="1:20" ht="15.75" customHeight="1" thickBot="1" x14ac:dyDescent="0.3">
      <c r="A54" s="24" t="s">
        <v>55</v>
      </c>
      <c r="B54" s="10" t="s">
        <v>19</v>
      </c>
      <c r="C54" s="10"/>
      <c r="D54" s="10"/>
      <c r="E54" s="10">
        <f>I15</f>
        <v>15</v>
      </c>
      <c r="F54" s="10" t="s">
        <v>18</v>
      </c>
      <c r="G54" s="10"/>
      <c r="H54" s="10"/>
      <c r="I54" s="10"/>
      <c r="J54" s="10"/>
      <c r="M54" s="41" t="s">
        <v>98</v>
      </c>
      <c r="N54" s="47">
        <v>0</v>
      </c>
      <c r="O54" s="47">
        <v>72</v>
      </c>
      <c r="P54" s="47">
        <v>88</v>
      </c>
      <c r="Q54" s="47">
        <v>136</v>
      </c>
      <c r="R54" s="47">
        <v>46</v>
      </c>
      <c r="S54" s="48">
        <v>342</v>
      </c>
    </row>
    <row r="55" spans="1:20" s="12" customFormat="1" ht="15.75" customHeight="1" thickBot="1" x14ac:dyDescent="0.3">
      <c r="A55" s="23" t="s">
        <v>43</v>
      </c>
      <c r="B55" s="68" t="s">
        <v>67</v>
      </c>
      <c r="C55" s="68"/>
      <c r="D55" s="68"/>
      <c r="E55" s="68"/>
      <c r="F55" s="68"/>
      <c r="G55" s="68"/>
      <c r="H55" s="68"/>
      <c r="I55" s="68"/>
      <c r="J55" s="68"/>
      <c r="M55" s="41" t="s">
        <v>99</v>
      </c>
      <c r="N55" s="47">
        <v>0</v>
      </c>
      <c r="O55" s="47">
        <v>0</v>
      </c>
      <c r="P55" s="47">
        <v>38</v>
      </c>
      <c r="Q55" s="47">
        <v>143</v>
      </c>
      <c r="R55" s="47">
        <v>37</v>
      </c>
      <c r="S55" s="48">
        <v>218</v>
      </c>
    </row>
    <row r="56" spans="1:20" ht="15.75" customHeight="1" thickBot="1" x14ac:dyDescent="0.3">
      <c r="A56" s="24" t="s">
        <v>56</v>
      </c>
      <c r="B56" s="10" t="s">
        <v>32</v>
      </c>
      <c r="C56" s="10"/>
      <c r="D56" s="10"/>
      <c r="E56" s="10">
        <f>COUNTIF(B19:B25,"*")</f>
        <v>7</v>
      </c>
      <c r="F56" s="10" t="s">
        <v>33</v>
      </c>
      <c r="G56" s="10"/>
      <c r="H56" s="10"/>
      <c r="I56" s="10"/>
      <c r="J56" s="10"/>
      <c r="M56" s="43" t="s">
        <v>92</v>
      </c>
      <c r="N56" s="47">
        <v>0</v>
      </c>
      <c r="O56" s="47">
        <v>72</v>
      </c>
      <c r="P56" s="47">
        <v>126</v>
      </c>
      <c r="Q56" s="47">
        <v>279</v>
      </c>
      <c r="R56" s="49">
        <v>83</v>
      </c>
      <c r="S56" s="46">
        <v>560</v>
      </c>
    </row>
    <row r="57" spans="1:20" ht="15.75" customHeight="1" x14ac:dyDescent="0.25">
      <c r="A57" s="24" t="s">
        <v>57</v>
      </c>
      <c r="B57" s="10" t="s">
        <v>19</v>
      </c>
      <c r="C57" s="10"/>
      <c r="D57" s="10"/>
      <c r="E57" s="10">
        <f>I26</f>
        <v>0</v>
      </c>
      <c r="F57" s="10" t="s">
        <v>18</v>
      </c>
      <c r="G57" s="10"/>
      <c r="H57" s="10"/>
      <c r="I57" s="10"/>
      <c r="J57" s="10"/>
    </row>
    <row r="58" spans="1:20" s="12" customFormat="1" ht="15.75" customHeight="1" x14ac:dyDescent="0.25">
      <c r="A58" s="23" t="s">
        <v>44</v>
      </c>
      <c r="B58" s="68" t="s">
        <v>24</v>
      </c>
      <c r="C58" s="68"/>
      <c r="D58" s="68"/>
      <c r="E58" s="68"/>
      <c r="F58" s="68"/>
      <c r="G58" s="68"/>
      <c r="H58" s="68"/>
      <c r="I58" s="68"/>
      <c r="J58" s="68"/>
    </row>
    <row r="59" spans="1:20" ht="15.75" customHeight="1" thickBot="1" x14ac:dyDescent="0.3">
      <c r="A59" s="24" t="s">
        <v>58</v>
      </c>
      <c r="B59" s="10" t="s">
        <v>32</v>
      </c>
      <c r="C59" s="10"/>
      <c r="D59" s="10"/>
      <c r="E59" s="10">
        <f>COUNTIF($B$30:B37,"*")</f>
        <v>8</v>
      </c>
      <c r="F59" s="10" t="s">
        <v>33</v>
      </c>
      <c r="G59" s="10"/>
      <c r="H59" s="10"/>
      <c r="I59" s="10"/>
      <c r="J59" s="10"/>
      <c r="N59">
        <f>SUM(N44+N49+N56)</f>
        <v>74</v>
      </c>
      <c r="O59">
        <f>SUM(O44+O49+O56)</f>
        <v>258</v>
      </c>
      <c r="P59">
        <f>SUM(P44+P49+P56)</f>
        <v>491</v>
      </c>
      <c r="Q59">
        <f>SUM(Q44+Q49+Q56)</f>
        <v>1229</v>
      </c>
      <c r="R59">
        <f>SUM(R44+R49+R56)</f>
        <v>289</v>
      </c>
      <c r="S59">
        <f>SUM(N59:R59)</f>
        <v>2341</v>
      </c>
      <c r="T59">
        <f>SUM(S44+S49+S56)</f>
        <v>2341</v>
      </c>
    </row>
    <row r="60" spans="1:20" ht="15.75" customHeight="1" thickBot="1" x14ac:dyDescent="0.3">
      <c r="A60" s="24" t="s">
        <v>59</v>
      </c>
      <c r="B60" s="10" t="s">
        <v>19</v>
      </c>
      <c r="C60" s="10"/>
      <c r="D60" s="10"/>
      <c r="E60" s="10">
        <f>I38</f>
        <v>42</v>
      </c>
      <c r="F60" s="10" t="s">
        <v>18</v>
      </c>
      <c r="G60" s="10"/>
      <c r="H60" s="10"/>
      <c r="I60" s="10"/>
      <c r="J60" s="10"/>
      <c r="M60" s="50" t="s">
        <v>85</v>
      </c>
      <c r="N60" s="39" t="s">
        <v>86</v>
      </c>
      <c r="O60" s="39" t="s">
        <v>81</v>
      </c>
      <c r="P60" s="39" t="s">
        <v>87</v>
      </c>
      <c r="Q60" s="39" t="s">
        <v>88</v>
      </c>
      <c r="R60" s="39" t="s">
        <v>82</v>
      </c>
      <c r="S60" s="40" t="s">
        <v>96</v>
      </c>
    </row>
    <row r="61" spans="1:20" ht="15.75" customHeight="1" thickBot="1" x14ac:dyDescent="0.3">
      <c r="A61" s="23" t="s">
        <v>45</v>
      </c>
      <c r="B61" s="68" t="s">
        <v>34</v>
      </c>
      <c r="C61" s="68"/>
      <c r="D61" s="68"/>
      <c r="E61" s="68"/>
      <c r="F61" s="68"/>
      <c r="G61" s="68"/>
      <c r="H61" s="68"/>
      <c r="I61" s="68"/>
      <c r="J61" s="68"/>
      <c r="M61" s="51" t="s">
        <v>103</v>
      </c>
      <c r="N61" s="32">
        <v>0</v>
      </c>
      <c r="O61" s="32">
        <v>90</v>
      </c>
      <c r="P61" s="32">
        <v>90</v>
      </c>
      <c r="Q61" s="32">
        <v>120</v>
      </c>
      <c r="R61" s="32">
        <v>44</v>
      </c>
      <c r="S61" s="42">
        <f>SUM(N61:R61)</f>
        <v>344</v>
      </c>
    </row>
    <row r="62" spans="1:20" ht="15.75" customHeight="1" thickBot="1" x14ac:dyDescent="0.3">
      <c r="A62" s="24" t="s">
        <v>60</v>
      </c>
      <c r="B62" s="10" t="s">
        <v>32</v>
      </c>
      <c r="C62" s="10"/>
      <c r="D62" s="10"/>
      <c r="E62" s="10">
        <f>COUNTIF(B42:B45,"*")</f>
        <v>4</v>
      </c>
      <c r="F62" s="10" t="s">
        <v>33</v>
      </c>
      <c r="G62" s="10"/>
      <c r="H62" s="10"/>
      <c r="I62" s="10"/>
      <c r="J62" s="10"/>
      <c r="M62" s="51" t="s">
        <v>104</v>
      </c>
      <c r="N62" s="47">
        <v>0</v>
      </c>
      <c r="O62" s="47">
        <v>66</v>
      </c>
      <c r="P62" s="47">
        <v>64</v>
      </c>
      <c r="Q62" s="47">
        <v>79</v>
      </c>
      <c r="R62" s="47">
        <v>41</v>
      </c>
      <c r="S62" s="42">
        <f t="shared" ref="S62:S63" si="11">SUM(N62:R62)</f>
        <v>250</v>
      </c>
    </row>
    <row r="63" spans="1:20" ht="15.75" customHeight="1" thickBot="1" x14ac:dyDescent="0.3">
      <c r="A63" s="24" t="s">
        <v>61</v>
      </c>
      <c r="B63" s="10" t="s">
        <v>19</v>
      </c>
      <c r="C63" s="10"/>
      <c r="D63" s="10"/>
      <c r="E63" s="10">
        <f>I46</f>
        <v>20</v>
      </c>
      <c r="F63" s="10" t="s">
        <v>18</v>
      </c>
      <c r="G63" s="10"/>
      <c r="H63" s="10"/>
      <c r="I63" s="10"/>
      <c r="J63" s="10"/>
      <c r="M63" s="51" t="s">
        <v>105</v>
      </c>
      <c r="N63" s="47">
        <v>0</v>
      </c>
      <c r="O63" s="47">
        <v>90</v>
      </c>
      <c r="P63" s="47">
        <v>219</v>
      </c>
      <c r="Q63" s="47">
        <v>256</v>
      </c>
      <c r="R63" s="47">
        <v>58</v>
      </c>
      <c r="S63" s="42">
        <f t="shared" si="11"/>
        <v>623</v>
      </c>
      <c r="T63">
        <f>SUM(S61:S63)</f>
        <v>1217</v>
      </c>
    </row>
    <row r="64" spans="1:20" ht="15.75" customHeight="1" thickBot="1" x14ac:dyDescent="0.3">
      <c r="A64" s="2" t="s">
        <v>20</v>
      </c>
      <c r="B64" s="2"/>
      <c r="C64" s="1"/>
      <c r="D64" s="1"/>
      <c r="E64" s="1"/>
      <c r="F64" s="1"/>
      <c r="G64" s="1"/>
      <c r="H64" s="1"/>
      <c r="I64" s="1"/>
      <c r="J64" s="1"/>
      <c r="M64" s="52" t="s">
        <v>92</v>
      </c>
      <c r="N64" s="47">
        <v>0</v>
      </c>
      <c r="O64" s="47">
        <f>SUM(O61:O63)</f>
        <v>246</v>
      </c>
      <c r="P64" s="47">
        <f t="shared" ref="P64:R64" si="12">SUM(P61:P63)</f>
        <v>373</v>
      </c>
      <c r="Q64" s="47">
        <f t="shared" si="12"/>
        <v>455</v>
      </c>
      <c r="R64" s="47">
        <f t="shared" si="12"/>
        <v>143</v>
      </c>
      <c r="S64" s="46">
        <f>SUM(N64:R64)</f>
        <v>1217</v>
      </c>
    </row>
    <row r="65" spans="1:15" ht="15.75" customHeight="1" x14ac:dyDescent="0.25">
      <c r="A65" t="s">
        <v>48</v>
      </c>
    </row>
    <row r="66" spans="1:15" ht="15.75" x14ac:dyDescent="0.25">
      <c r="D66" s="66" t="s">
        <v>131</v>
      </c>
      <c r="E66" s="66"/>
      <c r="F66" s="66"/>
      <c r="G66" s="66"/>
      <c r="H66" s="66"/>
      <c r="I66" s="66"/>
      <c r="J66" s="66"/>
    </row>
    <row r="67" spans="1:15" ht="15.75" x14ac:dyDescent="0.25">
      <c r="B67" s="22" t="s">
        <v>23</v>
      </c>
      <c r="G67" s="2" t="s">
        <v>21</v>
      </c>
      <c r="H67" s="2"/>
    </row>
    <row r="69" spans="1:15" ht="29.25" customHeight="1" x14ac:dyDescent="0.25">
      <c r="O69" t="s">
        <v>68</v>
      </c>
    </row>
    <row r="70" spans="1:15" ht="30" customHeight="1" x14ac:dyDescent="0.25"/>
    <row r="71" spans="1:15" ht="15.75" x14ac:dyDescent="0.25">
      <c r="B71" s="22" t="s">
        <v>46</v>
      </c>
      <c r="G71" s="2" t="s">
        <v>63</v>
      </c>
      <c r="H71" s="2"/>
    </row>
    <row r="72" spans="1:15" ht="15.75" x14ac:dyDescent="0.25">
      <c r="B72" s="22" t="s">
        <v>47</v>
      </c>
    </row>
  </sheetData>
  <mergeCells count="19">
    <mergeCell ref="D66:J66"/>
    <mergeCell ref="A47:J47"/>
    <mergeCell ref="B49:J49"/>
    <mergeCell ref="B52:J52"/>
    <mergeCell ref="B55:J55"/>
    <mergeCell ref="B58:J58"/>
    <mergeCell ref="B61:J61"/>
    <mergeCell ref="B41:J41"/>
    <mergeCell ref="A1:J1"/>
    <mergeCell ref="A2:J2"/>
    <mergeCell ref="A3:J3"/>
    <mergeCell ref="B5:J5"/>
    <mergeCell ref="A11:J11"/>
    <mergeCell ref="B13:J13"/>
    <mergeCell ref="A16:J16"/>
    <mergeCell ref="B18:J18"/>
    <mergeCell ref="A27:J27"/>
    <mergeCell ref="B29:J29"/>
    <mergeCell ref="A39:J39"/>
  </mergeCells>
  <pageMargins left="1.1417322834645669" right="0.51181102362204722" top="0.74803149606299213" bottom="0.74803149606299213" header="0.31496062992125984" footer="0.31496062992125984"/>
  <pageSetup paperSize="9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69B1-943F-49B9-B4B0-0E819FCE9A42}">
  <dimension ref="A1:T70"/>
  <sheetViews>
    <sheetView tabSelected="1" zoomScale="115" zoomScaleNormal="115" workbookViewId="0">
      <selection activeCell="K4" sqref="K4"/>
    </sheetView>
  </sheetViews>
  <sheetFormatPr defaultRowHeight="15" x14ac:dyDescent="0.25"/>
  <cols>
    <col min="1" max="1" width="4.7109375" customWidth="1"/>
    <col min="2" max="2" width="23.5703125" customWidth="1"/>
    <col min="3" max="3" width="6.85546875" customWidth="1"/>
    <col min="4" max="4" width="6.7109375" customWidth="1"/>
    <col min="5" max="5" width="6.28515625" customWidth="1"/>
    <col min="6" max="6" width="5.85546875" customWidth="1"/>
    <col min="7" max="7" width="6.42578125" customWidth="1"/>
    <col min="8" max="9" width="6.5703125" customWidth="1"/>
    <col min="10" max="10" width="17.7109375" customWidth="1"/>
    <col min="12" max="12" width="7.5703125" customWidth="1"/>
    <col min="13" max="13" width="13.42578125" customWidth="1"/>
    <col min="19" max="19" width="12.85546875" customWidth="1"/>
    <col min="20" max="20" width="11" customWidth="1"/>
  </cols>
  <sheetData>
    <row r="1" spans="1:18" ht="37.5" customHeight="1" x14ac:dyDescent="0.25">
      <c r="A1" s="56" t="s">
        <v>16</v>
      </c>
      <c r="B1" s="57"/>
      <c r="C1" s="57"/>
      <c r="D1" s="57"/>
      <c r="E1" s="57"/>
      <c r="F1" s="57"/>
      <c r="G1" s="57"/>
      <c r="H1" s="57"/>
      <c r="I1" s="57"/>
      <c r="J1" s="57"/>
    </row>
    <row r="2" spans="1:18" ht="46.5" customHeight="1" x14ac:dyDescent="0.25">
      <c r="A2" s="58" t="s">
        <v>132</v>
      </c>
      <c r="B2" s="58"/>
      <c r="C2" s="58"/>
      <c r="D2" s="58"/>
      <c r="E2" s="58"/>
      <c r="F2" s="58"/>
      <c r="G2" s="58"/>
      <c r="H2" s="58"/>
      <c r="I2" s="58"/>
      <c r="J2" s="58"/>
    </row>
    <row r="3" spans="1:18" ht="18" customHeight="1" x14ac:dyDescent="0.25">
      <c r="A3" s="59" t="s">
        <v>62</v>
      </c>
      <c r="B3" s="59"/>
      <c r="C3" s="59"/>
      <c r="D3" s="59"/>
      <c r="E3" s="59"/>
      <c r="F3" s="59"/>
      <c r="G3" s="59"/>
      <c r="H3" s="59"/>
      <c r="I3" s="59"/>
      <c r="J3" s="59"/>
    </row>
    <row r="4" spans="1:18" ht="29.25" customHeight="1" x14ac:dyDescent="0.25">
      <c r="A4" s="14" t="s">
        <v>40</v>
      </c>
      <c r="B4" s="14" t="s">
        <v>3</v>
      </c>
      <c r="C4" s="33" t="s">
        <v>124</v>
      </c>
      <c r="D4" s="33" t="s">
        <v>125</v>
      </c>
      <c r="E4" s="33" t="s">
        <v>126</v>
      </c>
      <c r="F4" s="34" t="s">
        <v>127</v>
      </c>
      <c r="G4" s="34" t="s">
        <v>128</v>
      </c>
      <c r="H4" s="25" t="s">
        <v>49</v>
      </c>
      <c r="I4" s="26" t="s">
        <v>50</v>
      </c>
      <c r="J4" s="16" t="s">
        <v>2</v>
      </c>
    </row>
    <row r="5" spans="1:18" ht="18" customHeight="1" x14ac:dyDescent="0.25">
      <c r="A5" s="6" t="s">
        <v>0</v>
      </c>
      <c r="B5" s="60" t="s">
        <v>1</v>
      </c>
      <c r="C5" s="61"/>
      <c r="D5" s="61"/>
      <c r="E5" s="61"/>
      <c r="F5" s="61"/>
      <c r="G5" s="61"/>
      <c r="H5" s="61"/>
      <c r="I5" s="61"/>
      <c r="J5" s="62"/>
    </row>
    <row r="6" spans="1:18" s="27" customFormat="1" ht="18" customHeight="1" x14ac:dyDescent="0.25">
      <c r="A6" s="36">
        <f>SUBTOTAL(3,$B$6:B6)</f>
        <v>1</v>
      </c>
      <c r="B6" s="13" t="s">
        <v>111</v>
      </c>
      <c r="C6" s="21">
        <v>0</v>
      </c>
      <c r="D6" s="21">
        <v>5</v>
      </c>
      <c r="E6" s="21">
        <v>5</v>
      </c>
      <c r="F6" s="21">
        <v>5</v>
      </c>
      <c r="G6" s="21">
        <v>0</v>
      </c>
      <c r="H6" s="21">
        <v>15</v>
      </c>
      <c r="I6" s="21">
        <f t="shared" ref="I6:I7" si="0">C6+D6+E6+F6+G6</f>
        <v>15</v>
      </c>
      <c r="J6" s="36" t="s">
        <v>119</v>
      </c>
    </row>
    <row r="7" spans="1:18" s="27" customFormat="1" ht="18" customHeight="1" x14ac:dyDescent="0.25">
      <c r="A7" s="36">
        <f>SUBTOTAL(3,$B$6:B7)</f>
        <v>2</v>
      </c>
      <c r="B7" s="13" t="s">
        <v>69</v>
      </c>
      <c r="C7" s="21">
        <v>4</v>
      </c>
      <c r="D7" s="21">
        <v>4</v>
      </c>
      <c r="E7" s="21">
        <v>4</v>
      </c>
      <c r="F7" s="21">
        <v>4</v>
      </c>
      <c r="G7" s="21">
        <v>2</v>
      </c>
      <c r="H7" s="21">
        <v>18</v>
      </c>
      <c r="I7" s="21">
        <f t="shared" si="0"/>
        <v>18</v>
      </c>
      <c r="J7" s="36" t="s">
        <v>119</v>
      </c>
    </row>
    <row r="8" spans="1:18" ht="18" customHeight="1" x14ac:dyDescent="0.25">
      <c r="A8" s="36"/>
      <c r="B8" s="9" t="s">
        <v>15</v>
      </c>
      <c r="C8" s="14">
        <f>SUM(C6:C7)</f>
        <v>4</v>
      </c>
      <c r="D8" s="14">
        <f>SUM(D6:D7)</f>
        <v>9</v>
      </c>
      <c r="E8" s="14">
        <f>SUM(E6:E7)</f>
        <v>9</v>
      </c>
      <c r="F8" s="14">
        <f>SUM(F6:F7)</f>
        <v>9</v>
      </c>
      <c r="G8" s="14">
        <f>SUM(G6:G7)</f>
        <v>2</v>
      </c>
      <c r="H8" s="14">
        <f>SUM(C8:G8)</f>
        <v>33</v>
      </c>
      <c r="I8" s="14">
        <f>SUM(I6:I7)</f>
        <v>33</v>
      </c>
      <c r="J8" s="11"/>
    </row>
    <row r="9" spans="1:18" ht="42" customHeight="1" x14ac:dyDescent="0.25">
      <c r="A9" s="63" t="s">
        <v>22</v>
      </c>
      <c r="B9" s="64"/>
      <c r="C9" s="64"/>
      <c r="D9" s="64"/>
      <c r="E9" s="64"/>
      <c r="F9" s="64"/>
      <c r="G9" s="64"/>
      <c r="H9" s="64"/>
      <c r="I9" s="64"/>
      <c r="J9" s="64"/>
    </row>
    <row r="10" spans="1:18" ht="36" customHeight="1" thickBot="1" x14ac:dyDescent="0.3">
      <c r="A10" s="14" t="s">
        <v>40</v>
      </c>
      <c r="B10" s="14" t="s">
        <v>3</v>
      </c>
      <c r="C10" s="33" t="s">
        <v>124</v>
      </c>
      <c r="D10" s="33" t="s">
        <v>125</v>
      </c>
      <c r="E10" s="33" t="s">
        <v>126</v>
      </c>
      <c r="F10" s="34" t="s">
        <v>127</v>
      </c>
      <c r="G10" s="34" t="s">
        <v>128</v>
      </c>
      <c r="H10" s="25" t="s">
        <v>49</v>
      </c>
      <c r="I10" s="26" t="s">
        <v>50</v>
      </c>
      <c r="J10" s="16" t="s">
        <v>2</v>
      </c>
    </row>
    <row r="11" spans="1:18" ht="18" customHeight="1" thickBot="1" x14ac:dyDescent="0.3">
      <c r="A11" s="6" t="s">
        <v>4</v>
      </c>
      <c r="B11" s="53" t="s">
        <v>5</v>
      </c>
      <c r="C11" s="54"/>
      <c r="D11" s="54"/>
      <c r="E11" s="54"/>
      <c r="F11" s="54"/>
      <c r="G11" s="54"/>
      <c r="H11" s="54"/>
      <c r="I11" s="54"/>
      <c r="J11" s="55"/>
      <c r="M11" s="29">
        <v>30</v>
      </c>
      <c r="N11" s="30">
        <v>93</v>
      </c>
      <c r="O11" s="30">
        <v>102</v>
      </c>
      <c r="P11" s="30">
        <v>59</v>
      </c>
      <c r="Q11" s="30">
        <v>35</v>
      </c>
      <c r="R11" s="20"/>
    </row>
    <row r="12" spans="1:18" ht="17.25" customHeight="1" thickBot="1" x14ac:dyDescent="0.3">
      <c r="A12" s="4">
        <v>1</v>
      </c>
      <c r="B12" s="13" t="s">
        <v>121</v>
      </c>
      <c r="C12" s="15">
        <v>4</v>
      </c>
      <c r="D12" s="15">
        <v>8</v>
      </c>
      <c r="E12" s="15">
        <v>8</v>
      </c>
      <c r="F12" s="15">
        <v>8</v>
      </c>
      <c r="G12" s="15">
        <v>0</v>
      </c>
      <c r="H12" s="15">
        <v>28</v>
      </c>
      <c r="I12" s="5">
        <f t="shared" ref="I12" si="1">C12+D12+E12+F12+G12</f>
        <v>28</v>
      </c>
      <c r="J12" s="5" t="s">
        <v>64</v>
      </c>
      <c r="M12" s="31">
        <v>21</v>
      </c>
      <c r="N12" s="32">
        <v>66</v>
      </c>
      <c r="O12" s="32">
        <v>86</v>
      </c>
      <c r="P12" s="32">
        <v>301</v>
      </c>
      <c r="Q12" s="32">
        <v>35</v>
      </c>
      <c r="R12" s="20"/>
    </row>
    <row r="13" spans="1:18" ht="17.25" customHeight="1" x14ac:dyDescent="0.25">
      <c r="A13" s="3"/>
      <c r="B13" s="7" t="s">
        <v>15</v>
      </c>
      <c r="C13" s="14">
        <f>SUM(C12:C12)</f>
        <v>4</v>
      </c>
      <c r="D13" s="14">
        <f>SUM(D12:D12)</f>
        <v>8</v>
      </c>
      <c r="E13" s="14">
        <f>SUM(E12:E12)</f>
        <v>8</v>
      </c>
      <c r="F13" s="14">
        <f>SUM(F12:F12)</f>
        <v>8</v>
      </c>
      <c r="G13" s="14">
        <f>SUM(G12:G12)</f>
        <v>0</v>
      </c>
      <c r="H13" s="14">
        <f>SUM(C13:G13)</f>
        <v>28</v>
      </c>
      <c r="I13" s="14">
        <f>SUM(I12:I12)</f>
        <v>28</v>
      </c>
      <c r="J13" s="3"/>
    </row>
    <row r="14" spans="1:18" ht="45" customHeight="1" x14ac:dyDescent="0.25">
      <c r="A14" s="63" t="s">
        <v>22</v>
      </c>
      <c r="B14" s="63"/>
      <c r="C14" s="63"/>
      <c r="D14" s="63"/>
      <c r="E14" s="63"/>
      <c r="F14" s="63"/>
      <c r="G14" s="63"/>
      <c r="H14" s="63"/>
      <c r="I14" s="63"/>
      <c r="J14" s="63"/>
    </row>
    <row r="15" spans="1:18" ht="34.5" customHeight="1" x14ac:dyDescent="0.25">
      <c r="A15" s="14" t="s">
        <v>40</v>
      </c>
      <c r="B15" s="14" t="s">
        <v>3</v>
      </c>
      <c r="C15" s="33" t="s">
        <v>124</v>
      </c>
      <c r="D15" s="33" t="s">
        <v>125</v>
      </c>
      <c r="E15" s="33" t="s">
        <v>126</v>
      </c>
      <c r="F15" s="34" t="s">
        <v>127</v>
      </c>
      <c r="G15" s="34" t="s">
        <v>128</v>
      </c>
      <c r="H15" s="25" t="s">
        <v>49</v>
      </c>
      <c r="I15" s="26" t="s">
        <v>50</v>
      </c>
      <c r="J15" s="16" t="s">
        <v>2</v>
      </c>
    </row>
    <row r="16" spans="1:18" ht="18" customHeight="1" x14ac:dyDescent="0.25">
      <c r="A16" s="6" t="s">
        <v>8</v>
      </c>
      <c r="B16" s="53" t="s">
        <v>67</v>
      </c>
      <c r="C16" s="54"/>
      <c r="D16" s="54"/>
      <c r="E16" s="54"/>
      <c r="F16" s="54"/>
      <c r="G16" s="54"/>
      <c r="H16" s="54"/>
      <c r="I16" s="54"/>
      <c r="J16" s="55"/>
    </row>
    <row r="17" spans="1:10" ht="17.25" customHeight="1" x14ac:dyDescent="0.25">
      <c r="A17" s="5">
        <v>1</v>
      </c>
      <c r="B17" s="8" t="s">
        <v>11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5">
        <f t="shared" ref="I17:I23" si="2">C17+D17+E17+F17+G17</f>
        <v>0</v>
      </c>
      <c r="J17" s="5"/>
    </row>
    <row r="18" spans="1:10" ht="17.25" customHeight="1" x14ac:dyDescent="0.25">
      <c r="A18" s="15">
        <v>2</v>
      </c>
      <c r="B18" s="8" t="s">
        <v>79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5">
        <f t="shared" si="2"/>
        <v>0</v>
      </c>
      <c r="J18" s="5"/>
    </row>
    <row r="19" spans="1:10" ht="17.25" customHeight="1" x14ac:dyDescent="0.25">
      <c r="A19" s="5">
        <v>3</v>
      </c>
      <c r="B19" s="8" t="s">
        <v>10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5">
        <f t="shared" si="2"/>
        <v>0</v>
      </c>
      <c r="J19" s="5"/>
    </row>
    <row r="20" spans="1:10" ht="17.25" customHeight="1" x14ac:dyDescent="0.25">
      <c r="A20" s="15">
        <v>4</v>
      </c>
      <c r="B20" s="8" t="s">
        <v>12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5">
        <f t="shared" si="2"/>
        <v>0</v>
      </c>
      <c r="J20" s="5"/>
    </row>
    <row r="21" spans="1:10" ht="17.25" customHeight="1" x14ac:dyDescent="0.25">
      <c r="A21" s="5">
        <v>5</v>
      </c>
      <c r="B21" s="8" t="s">
        <v>14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5">
        <f t="shared" si="2"/>
        <v>0</v>
      </c>
      <c r="J21" s="5"/>
    </row>
    <row r="22" spans="1:10" ht="17.25" customHeight="1" x14ac:dyDescent="0.25">
      <c r="A22" s="15">
        <v>6</v>
      </c>
      <c r="B22" s="8" t="s">
        <v>9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5">
        <f t="shared" si="2"/>
        <v>0</v>
      </c>
      <c r="J22" s="5"/>
    </row>
    <row r="23" spans="1:10" ht="17.25" customHeight="1" x14ac:dyDescent="0.25">
      <c r="A23" s="5">
        <v>7</v>
      </c>
      <c r="B23" s="8" t="s">
        <v>13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5">
        <f t="shared" si="2"/>
        <v>0</v>
      </c>
      <c r="J23" s="5"/>
    </row>
    <row r="24" spans="1:10" ht="17.25" customHeight="1" x14ac:dyDescent="0.25">
      <c r="A24" s="3"/>
      <c r="B24" s="7" t="s">
        <v>15</v>
      </c>
      <c r="C24" s="14">
        <f t="shared" ref="C24:I24" si="3">SUM(C17:C23)</f>
        <v>0</v>
      </c>
      <c r="D24" s="14">
        <f t="shared" si="3"/>
        <v>0</v>
      </c>
      <c r="E24" s="14">
        <f t="shared" si="3"/>
        <v>0</v>
      </c>
      <c r="F24" s="14">
        <f t="shared" si="3"/>
        <v>0</v>
      </c>
      <c r="G24" s="14">
        <f t="shared" si="3"/>
        <v>0</v>
      </c>
      <c r="H24" s="14">
        <f>SUM(C24:G24)</f>
        <v>0</v>
      </c>
      <c r="I24" s="14">
        <f t="shared" si="3"/>
        <v>0</v>
      </c>
      <c r="J24" s="3"/>
    </row>
    <row r="25" spans="1:10" ht="45" customHeight="1" x14ac:dyDescent="0.25">
      <c r="A25" s="63" t="s">
        <v>22</v>
      </c>
      <c r="B25" s="63"/>
      <c r="C25" s="63"/>
      <c r="D25" s="63"/>
      <c r="E25" s="63"/>
      <c r="F25" s="63"/>
      <c r="G25" s="63"/>
      <c r="H25" s="63"/>
      <c r="I25" s="63"/>
      <c r="J25" s="63"/>
    </row>
    <row r="26" spans="1:10" ht="30" customHeight="1" x14ac:dyDescent="0.25">
      <c r="A26" s="14" t="s">
        <v>40</v>
      </c>
      <c r="B26" s="14" t="s">
        <v>3</v>
      </c>
      <c r="C26" s="33" t="s">
        <v>124</v>
      </c>
      <c r="D26" s="33" t="s">
        <v>125</v>
      </c>
      <c r="E26" s="33" t="s">
        <v>126</v>
      </c>
      <c r="F26" s="34" t="s">
        <v>127</v>
      </c>
      <c r="G26" s="34" t="s">
        <v>128</v>
      </c>
      <c r="H26" s="25" t="s">
        <v>49</v>
      </c>
      <c r="I26" s="26" t="s">
        <v>50</v>
      </c>
      <c r="J26" s="16" t="s">
        <v>2</v>
      </c>
    </row>
    <row r="27" spans="1:10" ht="21" customHeight="1" x14ac:dyDescent="0.25">
      <c r="A27" s="6" t="s">
        <v>25</v>
      </c>
      <c r="B27" s="53" t="s">
        <v>24</v>
      </c>
      <c r="C27" s="54"/>
      <c r="D27" s="54"/>
      <c r="E27" s="54"/>
      <c r="F27" s="54"/>
      <c r="G27" s="54"/>
      <c r="H27" s="54"/>
      <c r="I27" s="54"/>
      <c r="J27" s="55"/>
    </row>
    <row r="28" spans="1:10" ht="18.75" customHeight="1" x14ac:dyDescent="0.25">
      <c r="A28" s="4">
        <v>1</v>
      </c>
      <c r="B28" s="8" t="s">
        <v>28</v>
      </c>
      <c r="C28" s="15">
        <v>0</v>
      </c>
      <c r="D28" s="15">
        <v>2</v>
      </c>
      <c r="E28" s="15">
        <v>2</v>
      </c>
      <c r="F28" s="15">
        <v>2</v>
      </c>
      <c r="G28" s="15">
        <v>0</v>
      </c>
      <c r="H28" s="15">
        <v>6</v>
      </c>
      <c r="I28" s="5">
        <f t="shared" ref="I28:I35" si="4">C28+D28+E28+F28+G28</f>
        <v>6</v>
      </c>
      <c r="J28" s="5" t="s">
        <v>71</v>
      </c>
    </row>
    <row r="29" spans="1:10" ht="18.75" customHeight="1" x14ac:dyDescent="0.25">
      <c r="A29" s="4">
        <v>2</v>
      </c>
      <c r="B29" s="8" t="s">
        <v>80</v>
      </c>
      <c r="C29" s="15">
        <v>0</v>
      </c>
      <c r="D29" s="15">
        <v>2</v>
      </c>
      <c r="E29" s="15">
        <v>2</v>
      </c>
      <c r="F29" s="15">
        <v>2</v>
      </c>
      <c r="G29" s="15">
        <v>0</v>
      </c>
      <c r="H29" s="15">
        <v>6</v>
      </c>
      <c r="I29" s="5">
        <f t="shared" si="4"/>
        <v>6</v>
      </c>
      <c r="J29" s="5" t="s">
        <v>71</v>
      </c>
    </row>
    <row r="30" spans="1:10" ht="18.75" customHeight="1" x14ac:dyDescent="0.25">
      <c r="A30" s="4">
        <v>3</v>
      </c>
      <c r="B30" s="8" t="s">
        <v>30</v>
      </c>
      <c r="C30" s="15">
        <v>0</v>
      </c>
      <c r="D30" s="15">
        <v>0</v>
      </c>
      <c r="E30" s="15">
        <v>2</v>
      </c>
      <c r="F30" s="15">
        <v>0</v>
      </c>
      <c r="G30" s="15">
        <v>0</v>
      </c>
      <c r="H30" s="15">
        <v>2</v>
      </c>
      <c r="I30" s="5">
        <f t="shared" si="4"/>
        <v>2</v>
      </c>
      <c r="J30" s="5" t="s">
        <v>71</v>
      </c>
    </row>
    <row r="31" spans="1:10" ht="18.75" customHeight="1" x14ac:dyDescent="0.25">
      <c r="A31" s="4">
        <v>4</v>
      </c>
      <c r="B31" s="8" t="s">
        <v>26</v>
      </c>
      <c r="C31" s="15">
        <v>0</v>
      </c>
      <c r="D31" s="15">
        <v>3</v>
      </c>
      <c r="E31" s="15">
        <v>0</v>
      </c>
      <c r="F31" s="15">
        <v>2</v>
      </c>
      <c r="G31" s="15">
        <v>0</v>
      </c>
      <c r="H31" s="15">
        <v>5</v>
      </c>
      <c r="I31" s="5">
        <f t="shared" si="4"/>
        <v>5</v>
      </c>
      <c r="J31" s="17" t="s">
        <v>51</v>
      </c>
    </row>
    <row r="32" spans="1:10" s="20" customFormat="1" ht="18.75" customHeight="1" x14ac:dyDescent="0.25">
      <c r="A32" s="4">
        <v>5</v>
      </c>
      <c r="B32" s="8" t="s">
        <v>27</v>
      </c>
      <c r="C32" s="19">
        <v>0</v>
      </c>
      <c r="D32" s="19">
        <v>2</v>
      </c>
      <c r="E32" s="19">
        <v>2</v>
      </c>
      <c r="F32" s="19">
        <v>2</v>
      </c>
      <c r="G32" s="19">
        <v>0</v>
      </c>
      <c r="H32" s="19">
        <v>6</v>
      </c>
      <c r="I32" s="18">
        <f t="shared" si="4"/>
        <v>6</v>
      </c>
      <c r="J32" s="5" t="s">
        <v>66</v>
      </c>
    </row>
    <row r="33" spans="1:19" s="20" customFormat="1" ht="18.75" customHeight="1" thickBot="1" x14ac:dyDescent="0.3">
      <c r="A33" s="4">
        <v>6</v>
      </c>
      <c r="B33" s="8" t="s">
        <v>31</v>
      </c>
      <c r="C33" s="19">
        <v>0</v>
      </c>
      <c r="D33" s="19">
        <v>0</v>
      </c>
      <c r="E33" s="19">
        <v>3</v>
      </c>
      <c r="F33" s="19">
        <v>0</v>
      </c>
      <c r="G33" s="19">
        <v>0</v>
      </c>
      <c r="H33" s="19">
        <v>3</v>
      </c>
      <c r="I33" s="18">
        <f t="shared" si="4"/>
        <v>3</v>
      </c>
      <c r="J33" s="5" t="s">
        <v>66</v>
      </c>
      <c r="M33" s="31"/>
      <c r="N33" s="32"/>
      <c r="O33" s="32"/>
      <c r="P33" s="32"/>
      <c r="Q33" s="32"/>
    </row>
    <row r="34" spans="1:19" s="20" customFormat="1" ht="18.75" customHeight="1" thickBot="1" x14ac:dyDescent="0.3">
      <c r="A34" s="4">
        <v>7</v>
      </c>
      <c r="B34" s="8" t="s">
        <v>65</v>
      </c>
      <c r="C34" s="19">
        <v>0</v>
      </c>
      <c r="D34" s="19">
        <v>3</v>
      </c>
      <c r="E34" s="19">
        <v>3</v>
      </c>
      <c r="F34" s="19">
        <v>3</v>
      </c>
      <c r="G34" s="19">
        <v>3</v>
      </c>
      <c r="H34" s="18">
        <v>12</v>
      </c>
      <c r="I34" s="18">
        <f t="shared" si="4"/>
        <v>12</v>
      </c>
      <c r="J34" s="5" t="s">
        <v>129</v>
      </c>
      <c r="M34" s="31"/>
      <c r="N34" s="32"/>
      <c r="O34" s="32"/>
      <c r="P34" s="32"/>
      <c r="Q34" s="32"/>
    </row>
    <row r="35" spans="1:19" s="20" customFormat="1" ht="18.75" customHeight="1" thickBot="1" x14ac:dyDescent="0.3">
      <c r="A35" s="4">
        <v>8</v>
      </c>
      <c r="B35" s="8" t="s">
        <v>29</v>
      </c>
      <c r="C35" s="19">
        <v>0</v>
      </c>
      <c r="D35" s="19">
        <v>2</v>
      </c>
      <c r="E35" s="19">
        <v>0</v>
      </c>
      <c r="F35" s="19">
        <v>0</v>
      </c>
      <c r="G35" s="19">
        <v>0</v>
      </c>
      <c r="H35" s="19">
        <v>2</v>
      </c>
      <c r="I35" s="18">
        <f t="shared" si="4"/>
        <v>2</v>
      </c>
      <c r="J35" s="5" t="s">
        <v>66</v>
      </c>
      <c r="M35" s="31"/>
      <c r="N35" s="32"/>
      <c r="O35" s="32"/>
      <c r="P35" s="32"/>
      <c r="Q35" s="32"/>
    </row>
    <row r="36" spans="1:19" ht="18.75" customHeight="1" x14ac:dyDescent="0.25">
      <c r="A36" s="5"/>
      <c r="B36" s="9" t="s">
        <v>15</v>
      </c>
      <c r="C36" s="16">
        <f t="shared" ref="C36:I36" si="5">SUM(C28:C35)</f>
        <v>0</v>
      </c>
      <c r="D36" s="16">
        <f t="shared" si="5"/>
        <v>14</v>
      </c>
      <c r="E36" s="16">
        <f t="shared" si="5"/>
        <v>14</v>
      </c>
      <c r="F36" s="16">
        <f t="shared" si="5"/>
        <v>11</v>
      </c>
      <c r="G36" s="16">
        <f t="shared" si="5"/>
        <v>3</v>
      </c>
      <c r="H36" s="16">
        <f>SUM(C36:G36)</f>
        <v>42</v>
      </c>
      <c r="I36" s="16">
        <f t="shared" si="5"/>
        <v>42</v>
      </c>
      <c r="J36" s="5"/>
      <c r="M36" s="37"/>
      <c r="N36" s="37"/>
      <c r="O36" s="37"/>
      <c r="P36" s="37"/>
      <c r="Q36" s="37"/>
      <c r="R36" s="37"/>
    </row>
    <row r="37" spans="1:19" ht="47.25" customHeight="1" thickBot="1" x14ac:dyDescent="0.3">
      <c r="A37" s="65" t="s">
        <v>22</v>
      </c>
      <c r="B37" s="65"/>
      <c r="C37" s="65"/>
      <c r="D37" s="65"/>
      <c r="E37" s="65"/>
      <c r="F37" s="65"/>
      <c r="G37" s="65"/>
      <c r="H37" s="65"/>
      <c r="I37" s="65"/>
      <c r="J37" s="65"/>
    </row>
    <row r="38" spans="1:19" ht="25.5" customHeight="1" thickBot="1" x14ac:dyDescent="0.3">
      <c r="A38" s="14" t="s">
        <v>40</v>
      </c>
      <c r="B38" s="14" t="s">
        <v>3</v>
      </c>
      <c r="C38" s="33" t="s">
        <v>124</v>
      </c>
      <c r="D38" s="33" t="s">
        <v>125</v>
      </c>
      <c r="E38" s="33" t="s">
        <v>126</v>
      </c>
      <c r="F38" s="34" t="s">
        <v>127</v>
      </c>
      <c r="G38" s="34" t="s">
        <v>128</v>
      </c>
      <c r="H38" s="25" t="s">
        <v>49</v>
      </c>
      <c r="I38" s="26" t="s">
        <v>50</v>
      </c>
      <c r="J38" s="16" t="s">
        <v>2</v>
      </c>
      <c r="M38" s="38" t="s">
        <v>85</v>
      </c>
      <c r="N38" s="39" t="s">
        <v>86</v>
      </c>
      <c r="O38" s="39" t="s">
        <v>81</v>
      </c>
      <c r="P38" s="39" t="s">
        <v>87</v>
      </c>
      <c r="Q38" s="39" t="s">
        <v>88</v>
      </c>
      <c r="R38" s="39" t="s">
        <v>82</v>
      </c>
      <c r="S38" s="40" t="s">
        <v>2</v>
      </c>
    </row>
    <row r="39" spans="1:19" ht="17.25" customHeight="1" thickBot="1" x14ac:dyDescent="0.3">
      <c r="A39" s="6" t="s">
        <v>106</v>
      </c>
      <c r="B39" s="53" t="s">
        <v>34</v>
      </c>
      <c r="C39" s="54"/>
      <c r="D39" s="54"/>
      <c r="E39" s="54"/>
      <c r="F39" s="54"/>
      <c r="G39" s="54"/>
      <c r="H39" s="54"/>
      <c r="I39" s="54"/>
      <c r="J39" s="55"/>
      <c r="M39" s="41" t="s">
        <v>89</v>
      </c>
      <c r="N39" s="32">
        <v>0</v>
      </c>
      <c r="O39" s="32">
        <v>0</v>
      </c>
      <c r="P39" s="32">
        <v>63</v>
      </c>
      <c r="Q39" s="32">
        <v>51</v>
      </c>
      <c r="R39" s="32">
        <v>53</v>
      </c>
      <c r="S39" s="42"/>
    </row>
    <row r="40" spans="1:19" ht="16.5" customHeight="1" thickBot="1" x14ac:dyDescent="0.3">
      <c r="A40" s="5">
        <v>1</v>
      </c>
      <c r="B40" s="8" t="s">
        <v>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5">
        <f>C40+D40+E40+F40+G40</f>
        <v>0</v>
      </c>
      <c r="J40" s="35" t="s">
        <v>122</v>
      </c>
      <c r="M40" s="41" t="s">
        <v>123</v>
      </c>
      <c r="N40" s="32">
        <v>20</v>
      </c>
      <c r="O40" s="32">
        <v>0</v>
      </c>
      <c r="P40" s="32">
        <v>15</v>
      </c>
      <c r="Q40" s="32">
        <v>64</v>
      </c>
      <c r="R40" s="32">
        <v>42</v>
      </c>
      <c r="S40" s="42"/>
    </row>
    <row r="41" spans="1:19" ht="16.5" customHeight="1" thickBot="1" x14ac:dyDescent="0.3">
      <c r="A41" s="4">
        <v>2</v>
      </c>
      <c r="B41" s="8" t="s">
        <v>35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5">
        <f t="shared" ref="I41:I43" si="6">C41+D41+E41+F41+G41</f>
        <v>0</v>
      </c>
      <c r="J41" s="35" t="s">
        <v>122</v>
      </c>
      <c r="M41" s="41"/>
      <c r="N41" s="32">
        <v>0</v>
      </c>
      <c r="O41" s="32">
        <v>0</v>
      </c>
      <c r="P41" s="32">
        <v>0</v>
      </c>
      <c r="Q41" s="32">
        <v>0</v>
      </c>
      <c r="R41" s="32"/>
      <c r="S41" s="42"/>
    </row>
    <row r="42" spans="1:19" ht="16.5" customHeight="1" thickBot="1" x14ac:dyDescent="0.3">
      <c r="A42" s="5">
        <v>3</v>
      </c>
      <c r="B42" s="8" t="s">
        <v>38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5">
        <f t="shared" si="6"/>
        <v>0</v>
      </c>
      <c r="J42" s="17" t="s">
        <v>51</v>
      </c>
      <c r="M42" s="43" t="s">
        <v>92</v>
      </c>
      <c r="N42" s="44">
        <f t="shared" ref="N42:P42" si="7">SUM(N39:N41)</f>
        <v>20</v>
      </c>
      <c r="O42" s="44">
        <f t="shared" si="7"/>
        <v>0</v>
      </c>
      <c r="P42" s="44">
        <f t="shared" si="7"/>
        <v>78</v>
      </c>
      <c r="Q42" s="44">
        <f>SUM(Q39:Q41)</f>
        <v>115</v>
      </c>
      <c r="R42" s="44">
        <f>SUM(R39:R41)</f>
        <v>95</v>
      </c>
      <c r="S42" s="42">
        <f>SUM(N42:R42)</f>
        <v>308</v>
      </c>
    </row>
    <row r="43" spans="1:19" ht="16.5" customHeight="1" x14ac:dyDescent="0.25">
      <c r="A43" s="4">
        <v>4</v>
      </c>
      <c r="B43" s="8" t="s">
        <v>37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5">
        <f t="shared" si="6"/>
        <v>0</v>
      </c>
      <c r="J43" s="17" t="s">
        <v>51</v>
      </c>
    </row>
    <row r="44" spans="1:19" ht="16.5" customHeight="1" thickBot="1" x14ac:dyDescent="0.3">
      <c r="A44" s="5"/>
      <c r="B44" s="9" t="s">
        <v>15</v>
      </c>
      <c r="C44" s="16">
        <f t="shared" ref="C44:I44" si="8">SUM(C40:C43)</f>
        <v>0</v>
      </c>
      <c r="D44" s="16">
        <f t="shared" si="8"/>
        <v>0</v>
      </c>
      <c r="E44" s="16">
        <f t="shared" si="8"/>
        <v>0</v>
      </c>
      <c r="F44" s="16">
        <f t="shared" si="8"/>
        <v>0</v>
      </c>
      <c r="G44" s="16">
        <f t="shared" si="8"/>
        <v>0</v>
      </c>
      <c r="H44" s="28">
        <f t="shared" si="8"/>
        <v>0</v>
      </c>
      <c r="I44" s="28">
        <f t="shared" si="8"/>
        <v>0</v>
      </c>
      <c r="J44" s="5"/>
      <c r="M44" s="41" t="s">
        <v>93</v>
      </c>
      <c r="N44" s="32">
        <v>33</v>
      </c>
      <c r="O44" s="32">
        <v>75</v>
      </c>
      <c r="P44" s="32">
        <v>53</v>
      </c>
      <c r="Q44" s="32">
        <v>126</v>
      </c>
      <c r="R44" s="32">
        <v>27</v>
      </c>
      <c r="S44" s="42"/>
    </row>
    <row r="45" spans="1:19" ht="45" customHeight="1" thickBot="1" x14ac:dyDescent="0.3">
      <c r="A45" s="65" t="s">
        <v>22</v>
      </c>
      <c r="B45" s="65"/>
      <c r="C45" s="65"/>
      <c r="D45" s="65"/>
      <c r="E45" s="65"/>
      <c r="F45" s="65"/>
      <c r="G45" s="65"/>
      <c r="H45" s="65"/>
      <c r="I45" s="65"/>
      <c r="J45" s="65"/>
      <c r="M45" s="41" t="s">
        <v>94</v>
      </c>
      <c r="N45" s="32">
        <v>21</v>
      </c>
      <c r="O45" s="32">
        <v>66</v>
      </c>
      <c r="P45" s="32">
        <v>86</v>
      </c>
      <c r="Q45" s="32">
        <v>301</v>
      </c>
      <c r="R45" s="32">
        <v>35</v>
      </c>
      <c r="S45" s="42"/>
    </row>
    <row r="46" spans="1:19" ht="15.75" customHeight="1" thickBot="1" x14ac:dyDescent="0.3">
      <c r="A46" s="2" t="s">
        <v>17</v>
      </c>
      <c r="B46" s="2"/>
      <c r="C46" s="2"/>
      <c r="D46" s="2"/>
      <c r="E46" s="2"/>
      <c r="F46" s="2"/>
      <c r="G46" s="2"/>
      <c r="H46" s="2"/>
      <c r="I46" s="2"/>
      <c r="J46" s="2"/>
      <c r="M46" s="41" t="s">
        <v>95</v>
      </c>
      <c r="N46" s="32">
        <v>0</v>
      </c>
      <c r="O46" s="32">
        <v>45</v>
      </c>
      <c r="P46" s="32">
        <v>148</v>
      </c>
      <c r="Q46" s="32">
        <v>408</v>
      </c>
      <c r="R46" s="45">
        <v>49</v>
      </c>
      <c r="S46" s="46"/>
    </row>
    <row r="47" spans="1:19" s="12" customFormat="1" ht="15.75" customHeight="1" thickBot="1" x14ac:dyDescent="0.3">
      <c r="A47" s="23" t="s">
        <v>41</v>
      </c>
      <c r="B47" s="67" t="s">
        <v>1</v>
      </c>
      <c r="C47" s="67"/>
      <c r="D47" s="67"/>
      <c r="E47" s="67"/>
      <c r="F47" s="67"/>
      <c r="G47" s="67"/>
      <c r="H47" s="67"/>
      <c r="I47" s="67"/>
      <c r="J47" s="67"/>
      <c r="M47" s="43" t="s">
        <v>92</v>
      </c>
      <c r="N47" s="44">
        <v>54</v>
      </c>
      <c r="O47" s="44">
        <v>186</v>
      </c>
      <c r="P47" s="44">
        <v>287</v>
      </c>
      <c r="Q47" s="44">
        <v>835</v>
      </c>
      <c r="R47" s="44">
        <v>111</v>
      </c>
      <c r="S47" s="42">
        <v>1473</v>
      </c>
    </row>
    <row r="48" spans="1:19" ht="15.75" customHeight="1" x14ac:dyDescent="0.25">
      <c r="A48" s="24" t="s">
        <v>52</v>
      </c>
      <c r="B48" s="10" t="s">
        <v>32</v>
      </c>
      <c r="C48" s="10"/>
      <c r="D48" s="10"/>
      <c r="E48" s="10">
        <f>COUNTIF($B$6:B7,"*")</f>
        <v>2</v>
      </c>
      <c r="F48" s="10" t="s">
        <v>33</v>
      </c>
      <c r="G48" s="10"/>
      <c r="H48" s="10"/>
      <c r="I48" s="10"/>
      <c r="J48" s="10"/>
    </row>
    <row r="49" spans="1:20" ht="15.75" customHeight="1" thickBot="1" x14ac:dyDescent="0.3">
      <c r="A49" s="24" t="s">
        <v>53</v>
      </c>
      <c r="B49" s="10" t="s">
        <v>19</v>
      </c>
      <c r="C49" s="10"/>
      <c r="D49" s="10"/>
      <c r="E49" s="10">
        <f>I8</f>
        <v>33</v>
      </c>
      <c r="F49" s="10" t="s">
        <v>18</v>
      </c>
      <c r="G49" s="10"/>
      <c r="H49" s="10"/>
      <c r="I49" s="10"/>
      <c r="J49" s="10"/>
    </row>
    <row r="50" spans="1:20" s="12" customFormat="1" ht="15.75" customHeight="1" thickBot="1" x14ac:dyDescent="0.3">
      <c r="A50" s="23" t="s">
        <v>42</v>
      </c>
      <c r="B50" s="68" t="s">
        <v>5</v>
      </c>
      <c r="C50" s="68"/>
      <c r="D50" s="68"/>
      <c r="E50" s="68"/>
      <c r="F50" s="68"/>
      <c r="G50" s="68"/>
      <c r="H50" s="68"/>
      <c r="I50" s="68"/>
      <c r="J50" s="68"/>
      <c r="M50" s="38" t="s">
        <v>85</v>
      </c>
      <c r="N50" s="39" t="s">
        <v>86</v>
      </c>
      <c r="O50" s="39" t="s">
        <v>81</v>
      </c>
      <c r="P50" s="39" t="s">
        <v>87</v>
      </c>
      <c r="Q50" s="39" t="s">
        <v>88</v>
      </c>
      <c r="R50" s="39" t="s">
        <v>82</v>
      </c>
      <c r="S50" s="40" t="s">
        <v>96</v>
      </c>
    </row>
    <row r="51" spans="1:20" ht="15.75" customHeight="1" thickBot="1" x14ac:dyDescent="0.3">
      <c r="A51" s="24" t="s">
        <v>54</v>
      </c>
      <c r="B51" s="10" t="s">
        <v>32</v>
      </c>
      <c r="C51" s="10"/>
      <c r="D51" s="10"/>
      <c r="E51" s="10">
        <f>COUNTIF($B$12:B12,"*")</f>
        <v>1</v>
      </c>
      <c r="F51" s="10" t="s">
        <v>33</v>
      </c>
      <c r="G51" s="10"/>
      <c r="H51" s="10"/>
      <c r="I51" s="10"/>
      <c r="J51" s="10"/>
      <c r="M51" s="41" t="s">
        <v>97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42">
        <v>0</v>
      </c>
    </row>
    <row r="52" spans="1:20" ht="15.75" customHeight="1" thickBot="1" x14ac:dyDescent="0.3">
      <c r="A52" s="24" t="s">
        <v>55</v>
      </c>
      <c r="B52" s="10" t="s">
        <v>19</v>
      </c>
      <c r="C52" s="10"/>
      <c r="D52" s="10"/>
      <c r="E52" s="10">
        <f>I13</f>
        <v>28</v>
      </c>
      <c r="F52" s="10" t="s">
        <v>18</v>
      </c>
      <c r="G52" s="10"/>
      <c r="H52" s="10"/>
      <c r="I52" s="10"/>
      <c r="J52" s="10"/>
      <c r="M52" s="41" t="s">
        <v>98</v>
      </c>
      <c r="N52" s="47">
        <v>0</v>
      </c>
      <c r="O52" s="47">
        <v>72</v>
      </c>
      <c r="P52" s="47">
        <v>88</v>
      </c>
      <c r="Q52" s="47">
        <v>136</v>
      </c>
      <c r="R52" s="47">
        <v>46</v>
      </c>
      <c r="S52" s="48">
        <v>342</v>
      </c>
    </row>
    <row r="53" spans="1:20" s="12" customFormat="1" ht="15.75" customHeight="1" thickBot="1" x14ac:dyDescent="0.3">
      <c r="A53" s="23" t="s">
        <v>43</v>
      </c>
      <c r="B53" s="68" t="s">
        <v>67</v>
      </c>
      <c r="C53" s="68"/>
      <c r="D53" s="68"/>
      <c r="E53" s="68"/>
      <c r="F53" s="68"/>
      <c r="G53" s="68"/>
      <c r="H53" s="68"/>
      <c r="I53" s="68"/>
      <c r="J53" s="68"/>
      <c r="M53" s="41" t="s">
        <v>99</v>
      </c>
      <c r="N53" s="47">
        <v>0</v>
      </c>
      <c r="O53" s="47">
        <v>0</v>
      </c>
      <c r="P53" s="47">
        <v>38</v>
      </c>
      <c r="Q53" s="47">
        <v>143</v>
      </c>
      <c r="R53" s="47">
        <v>37</v>
      </c>
      <c r="S53" s="48">
        <v>218</v>
      </c>
    </row>
    <row r="54" spans="1:20" ht="15.75" customHeight="1" thickBot="1" x14ac:dyDescent="0.3">
      <c r="A54" s="24" t="s">
        <v>56</v>
      </c>
      <c r="B54" s="10" t="s">
        <v>32</v>
      </c>
      <c r="C54" s="10"/>
      <c r="D54" s="10"/>
      <c r="E54" s="10">
        <f>COUNTIF(B17:B23,"*")</f>
        <v>7</v>
      </c>
      <c r="F54" s="10" t="s">
        <v>33</v>
      </c>
      <c r="G54" s="10"/>
      <c r="H54" s="10"/>
      <c r="I54" s="10"/>
      <c r="J54" s="10"/>
      <c r="M54" s="43" t="s">
        <v>92</v>
      </c>
      <c r="N54" s="47">
        <v>0</v>
      </c>
      <c r="O54" s="47">
        <v>72</v>
      </c>
      <c r="P54" s="47">
        <v>126</v>
      </c>
      <c r="Q54" s="47">
        <v>279</v>
      </c>
      <c r="R54" s="49">
        <v>83</v>
      </c>
      <c r="S54" s="46">
        <v>560</v>
      </c>
    </row>
    <row r="55" spans="1:20" ht="15.75" customHeight="1" x14ac:dyDescent="0.25">
      <c r="A55" s="24" t="s">
        <v>57</v>
      </c>
      <c r="B55" s="10" t="s">
        <v>19</v>
      </c>
      <c r="C55" s="10"/>
      <c r="D55" s="10"/>
      <c r="E55" s="10">
        <f>I24</f>
        <v>0</v>
      </c>
      <c r="F55" s="10" t="s">
        <v>18</v>
      </c>
      <c r="G55" s="10"/>
      <c r="H55" s="10"/>
      <c r="I55" s="10"/>
      <c r="J55" s="10"/>
    </row>
    <row r="56" spans="1:20" s="12" customFormat="1" ht="15.75" customHeight="1" x14ac:dyDescent="0.25">
      <c r="A56" s="23" t="s">
        <v>44</v>
      </c>
      <c r="B56" s="68" t="s">
        <v>24</v>
      </c>
      <c r="C56" s="68"/>
      <c r="D56" s="68"/>
      <c r="E56" s="68"/>
      <c r="F56" s="68"/>
      <c r="G56" s="68"/>
      <c r="H56" s="68"/>
      <c r="I56" s="68"/>
      <c r="J56" s="68"/>
    </row>
    <row r="57" spans="1:20" ht="15.75" customHeight="1" thickBot="1" x14ac:dyDescent="0.3">
      <c r="A57" s="24" t="s">
        <v>58</v>
      </c>
      <c r="B57" s="10" t="s">
        <v>32</v>
      </c>
      <c r="C57" s="10"/>
      <c r="D57" s="10"/>
      <c r="E57" s="10">
        <f>COUNTIF($B$28:B35,"*")</f>
        <v>8</v>
      </c>
      <c r="F57" s="10" t="s">
        <v>33</v>
      </c>
      <c r="G57" s="10"/>
      <c r="H57" s="10"/>
      <c r="I57" s="10"/>
      <c r="J57" s="10"/>
      <c r="N57">
        <f>SUM(N42+N47+N54)</f>
        <v>74</v>
      </c>
      <c r="O57">
        <f>SUM(O42+O47+O54)</f>
        <v>258</v>
      </c>
      <c r="P57">
        <f>SUM(P42+P47+P54)</f>
        <v>491</v>
      </c>
      <c r="Q57">
        <f>SUM(Q42+Q47+Q54)</f>
        <v>1229</v>
      </c>
      <c r="R57">
        <f>SUM(R42+R47+R54)</f>
        <v>289</v>
      </c>
      <c r="S57">
        <f>SUM(N57:R57)</f>
        <v>2341</v>
      </c>
      <c r="T57">
        <f>SUM(S42+S47+S54)</f>
        <v>2341</v>
      </c>
    </row>
    <row r="58" spans="1:20" ht="15.75" customHeight="1" thickBot="1" x14ac:dyDescent="0.3">
      <c r="A58" s="24" t="s">
        <v>59</v>
      </c>
      <c r="B58" s="10" t="s">
        <v>19</v>
      </c>
      <c r="C58" s="10"/>
      <c r="D58" s="10"/>
      <c r="E58" s="10">
        <f>I36</f>
        <v>42</v>
      </c>
      <c r="F58" s="10" t="s">
        <v>18</v>
      </c>
      <c r="G58" s="10"/>
      <c r="H58" s="10"/>
      <c r="I58" s="10"/>
      <c r="J58" s="10"/>
      <c r="M58" s="50" t="s">
        <v>85</v>
      </c>
      <c r="N58" s="39" t="s">
        <v>86</v>
      </c>
      <c r="O58" s="39" t="s">
        <v>81</v>
      </c>
      <c r="P58" s="39" t="s">
        <v>87</v>
      </c>
      <c r="Q58" s="39" t="s">
        <v>88</v>
      </c>
      <c r="R58" s="39" t="s">
        <v>82</v>
      </c>
      <c r="S58" s="40" t="s">
        <v>96</v>
      </c>
    </row>
    <row r="59" spans="1:20" ht="15.75" customHeight="1" thickBot="1" x14ac:dyDescent="0.3">
      <c r="A59" s="23" t="s">
        <v>45</v>
      </c>
      <c r="B59" s="68" t="s">
        <v>34</v>
      </c>
      <c r="C59" s="68"/>
      <c r="D59" s="68"/>
      <c r="E59" s="68"/>
      <c r="F59" s="68"/>
      <c r="G59" s="68"/>
      <c r="H59" s="68"/>
      <c r="I59" s="68"/>
      <c r="J59" s="68"/>
      <c r="M59" s="51" t="s">
        <v>103</v>
      </c>
      <c r="N59" s="32">
        <v>0</v>
      </c>
      <c r="O59" s="32">
        <v>90</v>
      </c>
      <c r="P59" s="32">
        <v>90</v>
      </c>
      <c r="Q59" s="32">
        <v>120</v>
      </c>
      <c r="R59" s="32">
        <v>44</v>
      </c>
      <c r="S59" s="42">
        <f>SUM(N59:R59)</f>
        <v>344</v>
      </c>
    </row>
    <row r="60" spans="1:20" ht="15.75" customHeight="1" thickBot="1" x14ac:dyDescent="0.3">
      <c r="A60" s="24" t="s">
        <v>60</v>
      </c>
      <c r="B60" s="10" t="s">
        <v>32</v>
      </c>
      <c r="C60" s="10"/>
      <c r="D60" s="10"/>
      <c r="E60" s="10">
        <f>COUNTIF(B40:B43,"*")</f>
        <v>4</v>
      </c>
      <c r="F60" s="10" t="s">
        <v>33</v>
      </c>
      <c r="G60" s="10"/>
      <c r="H60" s="10"/>
      <c r="I60" s="10"/>
      <c r="J60" s="10"/>
      <c r="M60" s="51" t="s">
        <v>104</v>
      </c>
      <c r="N60" s="47">
        <v>0</v>
      </c>
      <c r="O60" s="47">
        <v>66</v>
      </c>
      <c r="P60" s="47">
        <v>64</v>
      </c>
      <c r="Q60" s="47">
        <v>79</v>
      </c>
      <c r="R60" s="47">
        <v>41</v>
      </c>
      <c r="S60" s="42">
        <f t="shared" ref="S60:S61" si="9">SUM(N60:R60)</f>
        <v>250</v>
      </c>
    </row>
    <row r="61" spans="1:20" ht="15.75" customHeight="1" thickBot="1" x14ac:dyDescent="0.3">
      <c r="A61" s="24" t="s">
        <v>61</v>
      </c>
      <c r="B61" s="10" t="s">
        <v>19</v>
      </c>
      <c r="C61" s="10"/>
      <c r="D61" s="10"/>
      <c r="E61" s="10">
        <f>I44</f>
        <v>0</v>
      </c>
      <c r="F61" s="10" t="s">
        <v>18</v>
      </c>
      <c r="G61" s="10"/>
      <c r="H61" s="10"/>
      <c r="I61" s="10"/>
      <c r="J61" s="10"/>
      <c r="M61" s="51" t="s">
        <v>105</v>
      </c>
      <c r="N61" s="47">
        <v>0</v>
      </c>
      <c r="O61" s="47">
        <v>90</v>
      </c>
      <c r="P61" s="47">
        <v>219</v>
      </c>
      <c r="Q61" s="47">
        <v>256</v>
      </c>
      <c r="R61" s="47">
        <v>58</v>
      </c>
      <c r="S61" s="42">
        <f t="shared" si="9"/>
        <v>623</v>
      </c>
      <c r="T61">
        <f>SUM(S59:S61)</f>
        <v>1217</v>
      </c>
    </row>
    <row r="62" spans="1:20" ht="15.75" customHeight="1" thickBot="1" x14ac:dyDescent="0.3">
      <c r="A62" s="2" t="s">
        <v>20</v>
      </c>
      <c r="B62" s="2"/>
      <c r="C62" s="1"/>
      <c r="D62" s="1"/>
      <c r="E62" s="1"/>
      <c r="F62" s="1"/>
      <c r="G62" s="1"/>
      <c r="H62" s="1"/>
      <c r="I62" s="1"/>
      <c r="J62" s="1"/>
      <c r="M62" s="52" t="s">
        <v>92</v>
      </c>
      <c r="N62" s="47">
        <v>0</v>
      </c>
      <c r="O62" s="47">
        <f>SUM(O59:O61)</f>
        <v>246</v>
      </c>
      <c r="P62" s="47">
        <f t="shared" ref="P62:R62" si="10">SUM(P59:P61)</f>
        <v>373</v>
      </c>
      <c r="Q62" s="47">
        <f t="shared" si="10"/>
        <v>455</v>
      </c>
      <c r="R62" s="47">
        <f t="shared" si="10"/>
        <v>143</v>
      </c>
      <c r="S62" s="46">
        <f>SUM(N62:R62)</f>
        <v>1217</v>
      </c>
    </row>
    <row r="63" spans="1:20" ht="15.75" customHeight="1" x14ac:dyDescent="0.25">
      <c r="A63" t="s">
        <v>48</v>
      </c>
    </row>
    <row r="64" spans="1:20" ht="15.75" x14ac:dyDescent="0.25">
      <c r="D64" s="66" t="s">
        <v>130</v>
      </c>
      <c r="E64" s="66"/>
      <c r="F64" s="66"/>
      <c r="G64" s="66"/>
      <c r="H64" s="66"/>
      <c r="I64" s="66"/>
      <c r="J64" s="66"/>
    </row>
    <row r="65" spans="2:15" ht="15.75" x14ac:dyDescent="0.25">
      <c r="B65" s="22" t="s">
        <v>23</v>
      </c>
      <c r="G65" s="2" t="s">
        <v>21</v>
      </c>
      <c r="H65" s="2"/>
    </row>
    <row r="67" spans="2:15" ht="29.25" customHeight="1" x14ac:dyDescent="0.25">
      <c r="O67" t="s">
        <v>68</v>
      </c>
    </row>
    <row r="68" spans="2:15" ht="30" customHeight="1" x14ac:dyDescent="0.25"/>
    <row r="69" spans="2:15" ht="15.75" x14ac:dyDescent="0.25">
      <c r="B69" s="22" t="s">
        <v>46</v>
      </c>
      <c r="G69" s="2" t="s">
        <v>63</v>
      </c>
      <c r="H69" s="2"/>
    </row>
    <row r="70" spans="2:15" ht="15.75" x14ac:dyDescent="0.25">
      <c r="B70" s="22" t="s">
        <v>47</v>
      </c>
    </row>
  </sheetData>
  <mergeCells count="19">
    <mergeCell ref="B39:J39"/>
    <mergeCell ref="A1:J1"/>
    <mergeCell ref="A2:J2"/>
    <mergeCell ref="A3:J3"/>
    <mergeCell ref="B5:J5"/>
    <mergeCell ref="A9:J9"/>
    <mergeCell ref="B11:J11"/>
    <mergeCell ref="A14:J14"/>
    <mergeCell ref="B16:J16"/>
    <mergeCell ref="A25:J25"/>
    <mergeCell ref="B27:J27"/>
    <mergeCell ref="A37:J37"/>
    <mergeCell ref="D64:J64"/>
    <mergeCell ref="A45:J45"/>
    <mergeCell ref="B47:J47"/>
    <mergeCell ref="B50:J50"/>
    <mergeCell ref="B53:J53"/>
    <mergeCell ref="B56:J56"/>
    <mergeCell ref="B59:J59"/>
  </mergeCells>
  <pageMargins left="1.1417322834645669" right="0.5118110236220472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Tháng 01</vt:lpstr>
      <vt:lpstr>Tháng 2,3</vt:lpstr>
      <vt:lpstr>Tháng 4</vt:lpstr>
      <vt:lpstr>'Tháng 01'!Print_Titles</vt:lpstr>
      <vt:lpstr>'Tháng 2,3'!Print_Titles</vt:lpstr>
      <vt:lpstr>'Tháng 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2026-04-02T01:23:41Z</cp:lastPrinted>
  <dcterms:created xsi:type="dcterms:W3CDTF">2023-10-13T05:36:29Z</dcterms:created>
  <dcterms:modified xsi:type="dcterms:W3CDTF">2026-04-14T07:59:32Z</dcterms:modified>
</cp:coreProperties>
</file>